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Overview" sheetId="3" state="visible" r:id="rId5"/>
    <sheet name="Features" sheetId="4" state="visible" r:id="rId6"/>
    <sheet name="API Spec" sheetId="5" state="visible" r:id="rId7"/>
    <sheet name="Data Model" sheetId="6" state="visible" r:id="rId8"/>
    <sheet name="NFR" sheetId="7" state="visible" r:id="rId9"/>
    <sheet name="Out of Scope" sheetId="8" state="visible" r:id="rId10"/>
    <sheet name="Risks" sheetId="9" state="visible" r:id="rId11"/>
  </sheets>
  <definedNames>
    <definedName function="false" hidden="true" localSheetId="4" name="_xlnm._FilterDatabase" vbProcedure="false">'API Spec'!$A$1:$E$48</definedName>
    <definedName function="false" hidden="true" localSheetId="5" name="_xlnm._FilterDatabase" vbProcedure="false">'Data Model'!$A$1:$C$9</definedName>
    <definedName function="false" hidden="true" localSheetId="3" name="_xlnm._FilterDatabase" vbProcedure="false">Features!$A$1:$H$60</definedName>
    <definedName function="false" hidden="true" localSheetId="6" name="_xlnm._FilterDatabase" vbProcedure="false">NFR!$A$1:$C$25</definedName>
    <definedName function="false" hidden="true" localSheetId="7" name="_xlnm._FilterDatabase" vbProcedure="false">'Out of Scope'!$A$1:$C$11</definedName>
    <definedName function="false" hidden="true" localSheetId="8" name="_xlnm._FilterDatabase" vbProcedure="false">Risks!$A$1:$C$12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<sst xmlns="http://schemas.openxmlformats.org/spreadsheetml/2006/main" count="941" uniqueCount="581">
  <si>
    <r>
      <rPr>
        <b val="true"/>
        <sz val="20"/>
        <color rgb="FFFFFFFF"/>
        <rFont val="Noto Sans CJK SC"/>
        <family val="2"/>
      </rPr>
      <t xml:space="preserve">마이 헬스 로그 — </t>
    </r>
    <r>
      <rPr>
        <b val="true"/>
        <sz val="20"/>
        <color rgb="FFFFFFFF"/>
        <rFont val="Arial"/>
        <family val="0"/>
        <charset val="1"/>
      </rPr>
      <t xml:space="preserve">Product Requirements Document (v2.0)</t>
    </r>
  </si>
  <si>
    <r>
      <rPr>
        <sz val="12"/>
        <color rgb="FFFFFFFF"/>
        <rFont val="Noto Sans CJK SC"/>
        <family val="2"/>
      </rPr>
      <t xml:space="preserve">회원가입</t>
    </r>
    <r>
      <rPr>
        <sz val="12"/>
        <color rgb="FFFFFFFF"/>
        <rFont val="Arial"/>
        <family val="0"/>
        <charset val="1"/>
      </rPr>
      <t xml:space="preserve">/</t>
    </r>
    <r>
      <rPr>
        <sz val="12"/>
        <color rgb="FFFFFFFF"/>
        <rFont val="Noto Sans CJK SC"/>
        <family val="2"/>
      </rPr>
      <t xml:space="preserve">로그인 기반 개인 건강 기록</t>
    </r>
    <r>
      <rPr>
        <sz val="12"/>
        <color rgb="FFFFFFFF"/>
        <rFont val="Arial"/>
        <family val="0"/>
        <charset val="1"/>
      </rPr>
      <t xml:space="preserve">·</t>
    </r>
    <r>
      <rPr>
        <sz val="12"/>
        <color rgb="FFFFFFFF"/>
        <rFont val="Noto Sans CJK SC"/>
        <family val="2"/>
      </rPr>
      <t xml:space="preserve">분석</t>
    </r>
    <r>
      <rPr>
        <sz val="12"/>
        <color rgb="FFFFFFFF"/>
        <rFont val="Arial"/>
        <family val="0"/>
        <charset val="1"/>
      </rPr>
      <t xml:space="preserve">·AI </t>
    </r>
    <r>
      <rPr>
        <sz val="12"/>
        <color rgb="FFFFFFFF"/>
        <rFont val="Noto Sans CJK SC"/>
        <family val="2"/>
      </rPr>
      <t xml:space="preserve">코칭 서비스 — 실서버 배포 완료 상태</t>
    </r>
  </si>
  <si>
    <t xml:space="preserve">문서 정보</t>
  </si>
  <si>
    <t xml:space="preserve">문서 버전</t>
  </si>
  <si>
    <r>
      <rPr>
        <sz val="10"/>
        <color rgb="FF1B2430"/>
        <rFont val="Arial"/>
        <family val="0"/>
        <charset val="1"/>
      </rPr>
      <t xml:space="preserve">v2.0 (</t>
    </r>
    <r>
      <rPr>
        <sz val="10"/>
        <color rgb="FF1B2430"/>
        <rFont val="Noto Sans CJK SC"/>
        <family val="2"/>
      </rPr>
      <t xml:space="preserve">실배포 완료 상태 기준 — </t>
    </r>
    <r>
      <rPr>
        <sz val="10"/>
        <color rgb="FF1B2430"/>
        <rFont val="Arial"/>
        <family val="0"/>
        <charset val="1"/>
      </rPr>
      <t xml:space="preserve">v1.0 </t>
    </r>
    <r>
      <rPr>
        <sz val="10"/>
        <color rgb="FF1B2430"/>
        <rFont val="Noto Sans CJK SC"/>
        <family val="2"/>
      </rPr>
      <t xml:space="preserve">대비 보안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성능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접근성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알림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배포 반영</t>
    </r>
    <r>
      <rPr>
        <sz val="10"/>
        <color rgb="FF1B2430"/>
        <rFont val="Arial"/>
        <family val="0"/>
        <charset val="1"/>
      </rPr>
      <t xml:space="preserve">)</t>
    </r>
  </si>
  <si>
    <t xml:space="preserve">작성일</t>
  </si>
  <si>
    <t xml:space="preserve">2026-07-23</t>
  </si>
  <si>
    <t xml:space="preserve">작성 근거</t>
  </si>
  <si>
    <r>
      <rPr>
        <sz val="10"/>
        <color rgb="FF1B2430"/>
        <rFont val="Arial"/>
        <family val="0"/>
        <charset val="1"/>
      </rPr>
      <t xml:space="preserve">GitHub </t>
    </r>
    <r>
      <rPr>
        <sz val="10"/>
        <color rgb="FF1B2430"/>
        <rFont val="Noto Sans CJK SC"/>
        <family val="2"/>
      </rPr>
      <t xml:space="preserve">저장소 최신 커밋</t>
    </r>
    <r>
      <rPr>
        <sz val="10"/>
        <color rgb="FF1B2430"/>
        <rFont val="Arial"/>
        <family val="0"/>
        <charset val="1"/>
      </rPr>
      <t xml:space="preserve">(54c9008) </t>
    </r>
    <r>
      <rPr>
        <sz val="10"/>
        <color rgb="FF1B2430"/>
        <rFont val="Noto Sans CJK SC"/>
        <family val="2"/>
      </rPr>
      <t xml:space="preserve">직접 확인 </t>
    </r>
    <r>
      <rPr>
        <sz val="10"/>
        <color rgb="FF1B2430"/>
        <rFont val="Arial"/>
        <family val="0"/>
        <charset val="1"/>
      </rPr>
      <t xml:space="preserve">+ pytest 52</t>
    </r>
    <r>
      <rPr>
        <sz val="10"/>
        <color rgb="FF1B2430"/>
        <rFont val="Noto Sans CJK SC"/>
        <family val="2"/>
      </rPr>
      <t xml:space="preserve">건 실행 통과</t>
    </r>
  </si>
  <si>
    <t xml:space="preserve">저장소</t>
  </si>
  <si>
    <t xml:space="preserve">https://github.com/goldmireu-source/healthcare</t>
  </si>
  <si>
    <r>
      <rPr>
        <b val="true"/>
        <sz val="10"/>
        <color rgb="FF4A4A4A"/>
        <rFont val="Noto Sans CJK SC"/>
        <family val="2"/>
      </rPr>
      <t xml:space="preserve">배포 </t>
    </r>
    <r>
      <rPr>
        <b val="true"/>
        <sz val="10"/>
        <color rgb="FF4A4A4A"/>
        <rFont val="Arial"/>
        <family val="0"/>
        <charset val="1"/>
      </rPr>
      <t xml:space="preserve">URL</t>
    </r>
  </si>
  <si>
    <t xml:space="preserve">https://healthcare.kro.kr/ (AWS Lightsail, HTTPS/Let's Encrypt)</t>
  </si>
  <si>
    <t xml:space="preserve">문서 목적</t>
  </si>
  <si>
    <r>
      <rPr>
        <sz val="10"/>
        <color rgb="FF1B2430"/>
        <rFont val="Noto Sans CJK SC"/>
        <family val="2"/>
      </rPr>
      <t xml:space="preserve">구현 및 배포 완료된 최종 기능 범위를 요구사항 형태로 재정리 — 이해관계자 공유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제출 자료</t>
    </r>
  </si>
  <si>
    <r>
      <rPr>
        <b val="true"/>
        <sz val="13"/>
        <color rgb="FF1F3D33"/>
        <rFont val="Arial"/>
        <family val="0"/>
        <charset val="1"/>
      </rPr>
      <t xml:space="preserve">v1.0 </t>
    </r>
    <r>
      <rPr>
        <b val="true"/>
        <sz val="13"/>
        <color rgb="FF1F3D33"/>
        <rFont val="Noto Sans CJK SC"/>
        <family val="2"/>
      </rPr>
      <t xml:space="preserve">대비 주요 변경</t>
    </r>
  </si>
  <si>
    <r>
      <rPr>
        <sz val="10"/>
        <color rgb="FF1B2430"/>
        <rFont val="Noto Sans CJK SC"/>
        <family val="2"/>
      </rPr>
      <t xml:space="preserve">• 실서버 배포 완료 </t>
    </r>
    <r>
      <rPr>
        <sz val="10"/>
        <color rgb="FF1B2430"/>
        <rFont val="Arial"/>
        <family val="0"/>
        <charset val="1"/>
      </rPr>
      <t xml:space="preserve">(AWS Lightsail + nginx + Let's Encrypt HTTPS)</t>
    </r>
  </si>
  <si>
    <r>
      <rPr>
        <sz val="10"/>
        <color rgb="FF1B2430"/>
        <rFont val="Noto Sans CJK SC"/>
        <family val="2"/>
      </rPr>
      <t xml:space="preserve">• 보안</t>
    </r>
    <r>
      <rPr>
        <sz val="10"/>
        <color rgb="FF1B2430"/>
        <rFont val="Arial"/>
        <family val="0"/>
        <charset val="1"/>
      </rPr>
      <t xml:space="preserve">: XSS </t>
    </r>
    <r>
      <rPr>
        <sz val="10"/>
        <color rgb="FF1B2430"/>
        <rFont val="Noto Sans CJK SC"/>
        <family val="2"/>
      </rPr>
      <t xml:space="preserve">전수조사 완료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취약점 없음 확인</t>
    </r>
    <r>
      <rPr>
        <sz val="10"/>
        <color rgb="FF1B2430"/>
        <rFont val="Arial"/>
        <family val="0"/>
        <charset val="1"/>
      </rPr>
      <t xml:space="preserve">), CSV </t>
    </r>
    <r>
      <rPr>
        <sz val="10"/>
        <color rgb="FF1B2430"/>
        <rFont val="Noto Sans CJK SC"/>
        <family val="2"/>
      </rPr>
      <t xml:space="preserve">수식 인젝션 방어</t>
    </r>
    <r>
      <rPr>
        <sz val="10"/>
        <color rgb="FF1B2430"/>
        <rFont val="Arial"/>
        <family val="0"/>
        <charset val="1"/>
      </rPr>
      <t xml:space="preserve">, CORS/</t>
    </r>
    <r>
      <rPr>
        <sz val="10"/>
        <color rgb="FF1B2430"/>
        <rFont val="Noto Sans CJK SC"/>
        <family val="2"/>
      </rPr>
      <t xml:space="preserve">보안헤더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계정잠금</t>
    </r>
    <r>
      <rPr>
        <sz val="10"/>
        <color rgb="FF1B2430"/>
        <rFont val="Arial"/>
        <family val="0"/>
        <charset val="1"/>
      </rPr>
      <t xml:space="preserve">/rate limit</t>
    </r>
  </si>
  <si>
    <r>
      <rPr>
        <sz val="10"/>
        <color rgb="FF1B2430"/>
        <rFont val="Noto Sans CJK SC"/>
        <family val="2"/>
      </rPr>
      <t xml:space="preserve">• 코드 구조</t>
    </r>
    <r>
      <rPr>
        <sz val="10"/>
        <color rgb="FF1B2430"/>
        <rFont val="Arial"/>
        <family val="0"/>
        <charset val="1"/>
      </rPr>
      <t xml:space="preserve">: main.py</t>
    </r>
    <r>
      <rPr>
        <sz val="10"/>
        <color rgb="FF1B2430"/>
        <rFont val="Noto Sans CJK SC"/>
        <family val="2"/>
      </rPr>
      <t xml:space="preserve">를 </t>
    </r>
    <r>
      <rPr>
        <sz val="10"/>
        <color rgb="FF1B2430"/>
        <rFont val="Arial"/>
        <family val="0"/>
        <charset val="1"/>
      </rPr>
      <t xml:space="preserve">8</t>
    </r>
    <r>
      <rPr>
        <sz val="10"/>
        <color rgb="FF1B2430"/>
        <rFont val="Noto Sans CJK SC"/>
        <family val="2"/>
      </rPr>
      <t xml:space="preserve">개 도메인 </t>
    </r>
    <r>
      <rPr>
        <sz val="10"/>
        <color rgb="FF1B2430"/>
        <rFont val="Arial"/>
        <family val="0"/>
        <charset val="1"/>
      </rPr>
      <t xml:space="preserve">APIRouter</t>
    </r>
    <r>
      <rPr>
        <sz val="10"/>
        <color rgb="FF1B2430"/>
        <rFont val="Noto Sans CJK SC"/>
        <family val="2"/>
      </rPr>
      <t xml:space="preserve">로 분리</t>
    </r>
    <r>
      <rPr>
        <sz val="10"/>
        <color rgb="FF1B2430"/>
        <rFont val="Arial"/>
        <family val="0"/>
        <charset val="1"/>
      </rPr>
      <t xml:space="preserve">, Pydantic ConfigDict </t>
    </r>
    <r>
      <rPr>
        <sz val="10"/>
        <color rgb="FF1B2430"/>
        <rFont val="Noto Sans CJK SC"/>
        <family val="2"/>
      </rPr>
      <t xml:space="preserve">전환</t>
    </r>
  </si>
  <si>
    <r>
      <rPr>
        <sz val="10"/>
        <color rgb="FF1B2430"/>
        <rFont val="Noto Sans CJK SC"/>
        <family val="2"/>
      </rPr>
      <t xml:space="preserve">• 성능</t>
    </r>
    <r>
      <rPr>
        <sz val="10"/>
        <color rgb="FF1B2430"/>
        <rFont val="Arial"/>
        <family val="0"/>
        <charset val="1"/>
      </rPr>
      <t xml:space="preserve">: (user_id,date) </t>
    </r>
    <r>
      <rPr>
        <sz val="10"/>
        <color rgb="FF1B2430"/>
        <rFont val="Noto Sans CJK SC"/>
        <family val="2"/>
      </rPr>
      <t xml:space="preserve">복합 인덱스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서버사이드 페이지네이션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정적 파일 캐싱</t>
    </r>
  </si>
  <si>
    <r>
      <rPr>
        <sz val="10"/>
        <color rgb="FF1B2430"/>
        <rFont val="Noto Sans CJK SC"/>
        <family val="2"/>
      </rPr>
      <t xml:space="preserve">• 테스트</t>
    </r>
    <r>
      <rPr>
        <sz val="10"/>
        <color rgb="FF1B2430"/>
        <rFont val="Arial"/>
        <family val="0"/>
        <charset val="1"/>
      </rPr>
      <t xml:space="preserve">/CI: pytest 9→52</t>
    </r>
    <r>
      <rPr>
        <sz val="10"/>
        <color rgb="FF1B2430"/>
        <rFont val="Noto Sans CJK SC"/>
        <family val="2"/>
      </rPr>
      <t xml:space="preserve">개 확장 </t>
    </r>
    <r>
      <rPr>
        <sz val="10"/>
        <color rgb="FF1B2430"/>
        <rFont val="Arial"/>
        <family val="0"/>
        <charset val="1"/>
      </rPr>
      <t xml:space="preserve">+ GitHub Actions CI </t>
    </r>
    <r>
      <rPr>
        <sz val="10"/>
        <color rgb="FF1B2430"/>
        <rFont val="Noto Sans CJK SC"/>
        <family val="2"/>
      </rPr>
      <t xml:space="preserve">추가</t>
    </r>
  </si>
  <si>
    <r>
      <rPr>
        <sz val="10"/>
        <color rgb="FF1B2430"/>
        <rFont val="Noto Sans CJK SC"/>
        <family val="2"/>
      </rPr>
      <t xml:space="preserve">• 접근성</t>
    </r>
    <r>
      <rPr>
        <sz val="10"/>
        <color rgb="FF1B2430"/>
        <rFont val="Arial"/>
        <family val="0"/>
        <charset val="1"/>
      </rPr>
      <t xml:space="preserve">: </t>
    </r>
    <r>
      <rPr>
        <sz val="10"/>
        <color rgb="FF1B2430"/>
        <rFont val="Noto Sans CJK SC"/>
        <family val="2"/>
      </rPr>
      <t xml:space="preserve">폼 </t>
    </r>
    <r>
      <rPr>
        <sz val="10"/>
        <color rgb="FF1B2430"/>
        <rFont val="Arial"/>
        <family val="0"/>
        <charset val="1"/>
      </rPr>
      <t xml:space="preserve">label </t>
    </r>
    <r>
      <rPr>
        <sz val="10"/>
        <color rgb="FF1B2430"/>
        <rFont val="Noto Sans CJK SC"/>
        <family val="2"/>
      </rPr>
      <t xml:space="preserve">연결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모달 시맨틱</t>
    </r>
    <r>
      <rPr>
        <sz val="10"/>
        <color rgb="FF1B2430"/>
        <rFont val="Arial"/>
        <family val="0"/>
        <charset val="1"/>
      </rPr>
      <t xml:space="preserve">(dialog), aria-label, </t>
    </r>
    <r>
      <rPr>
        <sz val="10"/>
        <color rgb="FF1B2430"/>
        <rFont val="Noto Sans CJK SC"/>
        <family val="2"/>
      </rPr>
      <t xml:space="preserve">온보딩 배너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메타 태그</t>
    </r>
  </si>
  <si>
    <r>
      <rPr>
        <sz val="10"/>
        <color rgb="FF1B2430"/>
        <rFont val="Noto Sans CJK SC"/>
        <family val="2"/>
      </rPr>
      <t xml:space="preserve">• 신규 기능</t>
    </r>
    <r>
      <rPr>
        <sz val="10"/>
        <color rgb="FF1B2430"/>
        <rFont val="Arial"/>
        <family val="0"/>
        <charset val="1"/>
      </rPr>
      <t xml:space="preserve">: </t>
    </r>
    <r>
      <rPr>
        <sz val="10"/>
        <color rgb="FF1B2430"/>
        <rFont val="Noto Sans CJK SC"/>
        <family val="2"/>
      </rPr>
      <t xml:space="preserve">코호트 리텐션 히트맵</t>
    </r>
    <r>
      <rPr>
        <sz val="10"/>
        <color rgb="FF1B2430"/>
        <rFont val="Arial"/>
        <family val="0"/>
        <charset val="1"/>
      </rPr>
      <t xml:space="preserve">, Web Push </t>
    </r>
    <r>
      <rPr>
        <sz val="10"/>
        <color rgb="FF1B2430"/>
        <rFont val="Noto Sans CJK SC"/>
        <family val="2"/>
      </rPr>
      <t xml:space="preserve">리마인더</t>
    </r>
    <r>
      <rPr>
        <sz val="10"/>
        <color rgb="FF1B2430"/>
        <rFont val="Arial"/>
        <family val="0"/>
        <charset val="1"/>
      </rPr>
      <t xml:space="preserve">, DB </t>
    </r>
    <r>
      <rPr>
        <sz val="10"/>
        <color rgb="FF1B2430"/>
        <rFont val="Noto Sans CJK SC"/>
        <family val="2"/>
      </rPr>
      <t xml:space="preserve">백업 스크립트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실명 필드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관리자 비밀번호 강제 재설정</t>
    </r>
  </si>
  <si>
    <r>
      <rPr>
        <sz val="10"/>
        <color rgb="FF1B2430"/>
        <rFont val="Arial"/>
        <family val="0"/>
        <charset val="1"/>
      </rPr>
      <t xml:space="preserve">• DB: push_subscriptions/coaching_cache/badges </t>
    </r>
    <r>
      <rPr>
        <sz val="10"/>
        <color rgb="FF1B2430"/>
        <rFont val="Noto Sans CJK SC"/>
        <family val="2"/>
      </rPr>
      <t xml:space="preserve">테이블 추가 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총 </t>
    </r>
    <r>
      <rPr>
        <sz val="10"/>
        <color rgb="FF1B2430"/>
        <rFont val="Arial"/>
        <family val="0"/>
        <charset val="1"/>
      </rPr>
      <t xml:space="preserve">8</t>
    </r>
    <r>
      <rPr>
        <sz val="10"/>
        <color rgb="FF1B2430"/>
        <rFont val="Noto Sans CJK SC"/>
        <family val="2"/>
      </rPr>
      <t xml:space="preserve">개 테이블</t>
    </r>
    <r>
      <rPr>
        <sz val="10"/>
        <color rgb="FF1B2430"/>
        <rFont val="Arial"/>
        <family val="0"/>
        <charset val="1"/>
      </rPr>
      <t xml:space="preserve">)</t>
    </r>
  </si>
  <si>
    <r>
      <rPr>
        <b val="true"/>
        <sz val="13"/>
        <color rgb="FF1F3D33"/>
        <rFont val="Noto Sans CJK SC"/>
        <family val="2"/>
      </rPr>
      <t xml:space="preserve">기능 현황 요약 </t>
    </r>
    <r>
      <rPr>
        <b val="true"/>
        <sz val="13"/>
        <color rgb="FF1F3D33"/>
        <rFont val="Arial"/>
        <family val="0"/>
        <charset val="1"/>
      </rPr>
      <t xml:space="preserve">(Features </t>
    </r>
    <r>
      <rPr>
        <b val="true"/>
        <sz val="13"/>
        <color rgb="FF1F3D33"/>
        <rFont val="Noto Sans CJK SC"/>
        <family val="2"/>
      </rPr>
      <t xml:space="preserve">시트 자동 집계</t>
    </r>
    <r>
      <rPr>
        <b val="true"/>
        <sz val="13"/>
        <color rgb="FF1F3D33"/>
        <rFont val="Arial"/>
        <family val="0"/>
        <charset val="1"/>
      </rPr>
      <t xml:space="preserve">)</t>
    </r>
  </si>
  <si>
    <t xml:space="preserve">전체 기능 수</t>
  </si>
  <si>
    <r>
      <rPr>
        <sz val="10"/>
        <color rgb="FF1B2430"/>
        <rFont val="Noto Sans CJK SC"/>
        <family val="2"/>
      </rPr>
      <t xml:space="preserve">구현 완료</t>
    </r>
    <r>
      <rPr>
        <sz val="10"/>
        <color rgb="FF1B2430"/>
        <rFont val="Arial"/>
        <family val="0"/>
        <charset val="1"/>
      </rPr>
      <t xml:space="preserve">(Implemented) </t>
    </r>
    <r>
      <rPr>
        <sz val="10"/>
        <color rgb="FF1B2430"/>
        <rFont val="Noto Sans CJK SC"/>
        <family val="2"/>
      </rPr>
      <t xml:space="preserve">수</t>
    </r>
  </si>
  <si>
    <t xml:space="preserve">구현 완료율</t>
  </si>
  <si>
    <t xml:space="preserve">우선순위별 기능 수</t>
  </si>
  <si>
    <t xml:space="preserve">우선순위</t>
  </si>
  <si>
    <t xml:space="preserve">기능 수</t>
  </si>
  <si>
    <t xml:space="preserve">비중</t>
  </si>
  <si>
    <t xml:space="preserve">Must</t>
  </si>
  <si>
    <t xml:space="preserve">Should</t>
  </si>
  <si>
    <t xml:space="preserve">Could</t>
  </si>
  <si>
    <t xml:space="preserve">카테고리별 기능 수</t>
  </si>
  <si>
    <t xml:space="preserve">카테고리</t>
  </si>
  <si>
    <t xml:space="preserve">인증</t>
  </si>
  <si>
    <t xml:space="preserve">건강기록</t>
  </si>
  <si>
    <r>
      <rPr>
        <sz val="10"/>
        <color rgb="FF1B2430"/>
        <rFont val="Noto Sans CJK SC"/>
        <family val="2"/>
      </rPr>
      <t xml:space="preserve">목표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리포트</t>
    </r>
  </si>
  <si>
    <t xml:space="preserve">AI Health Coach</t>
  </si>
  <si>
    <t xml:space="preserve">데이터 내보내기</t>
  </si>
  <si>
    <t xml:space="preserve">외부 연동</t>
  </si>
  <si>
    <t xml:space="preserve">알림</t>
  </si>
  <si>
    <t xml:space="preserve">관리자</t>
  </si>
  <si>
    <t xml:space="preserve">프론트엔드</t>
  </si>
  <si>
    <t xml:space="preserve">보안</t>
  </si>
  <si>
    <t xml:space="preserve">인프라</t>
  </si>
  <si>
    <t xml:space="preserve">성능</t>
  </si>
  <si>
    <t xml:space="preserve">1. Overview</t>
  </si>
  <si>
    <t xml:space="preserve">제품 개요</t>
  </si>
  <si>
    <r>
      <rPr>
        <sz val="10"/>
        <color rgb="FF1B2430"/>
        <rFont val="Noto Sans CJK SC"/>
        <family val="2"/>
      </rPr>
      <t xml:space="preserve">개인 건강 기록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체중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키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혈압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혈당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걸음수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수면</t>
    </r>
    <r>
      <rPr>
        <sz val="10"/>
        <color rgb="FF1B2430"/>
        <rFont val="Arial"/>
        <family val="0"/>
        <charset val="1"/>
      </rPr>
      <t xml:space="preserve">)</t>
    </r>
    <r>
      <rPr>
        <sz val="10"/>
        <color rgb="FF1B2430"/>
        <rFont val="Noto Sans CJK SC"/>
        <family val="2"/>
      </rPr>
      <t xml:space="preserve">을 입력하면 </t>
    </r>
    <r>
      <rPr>
        <sz val="10"/>
        <color rgb="FF1B2430"/>
        <rFont val="Arial"/>
        <family val="0"/>
        <charset val="1"/>
      </rPr>
      <t xml:space="preserve">BMI</t>
    </r>
    <r>
      <rPr>
        <sz val="10"/>
        <color rgb="FF1B2430"/>
        <rFont val="Noto Sans CJK SC"/>
        <family val="2"/>
      </rPr>
      <t xml:space="preserve">를 자동 계산하고 건강 상태를 분류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경고하며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통계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목표관리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주간 리포트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추이 차트</t>
    </r>
    <r>
      <rPr>
        <sz val="10"/>
        <color rgb="FF1B2430"/>
        <rFont val="Arial"/>
        <family val="0"/>
        <charset val="1"/>
      </rPr>
      <t xml:space="preserve">·AI </t>
    </r>
    <r>
      <rPr>
        <sz val="10"/>
        <color rgb="FF1B2430"/>
        <rFont val="Noto Sans CJK SC"/>
        <family val="2"/>
      </rPr>
      <t xml:space="preserve">코칭</t>
    </r>
    <r>
      <rPr>
        <sz val="10"/>
        <color rgb="FF1B2430"/>
        <rFont val="Arial"/>
        <family val="0"/>
        <charset val="1"/>
      </rPr>
      <t xml:space="preserve">·Web Push </t>
    </r>
    <r>
      <rPr>
        <sz val="10"/>
        <color rgb="FF1B2430"/>
        <rFont val="Noto Sans CJK SC"/>
        <family val="2"/>
      </rPr>
      <t xml:space="preserve">리마인더까지 제공하는 웹 서비스</t>
    </r>
    <r>
      <rPr>
        <sz val="10"/>
        <color rgb="FF1B2430"/>
        <rFont val="Arial"/>
        <family val="0"/>
        <charset val="1"/>
      </rPr>
      <t xml:space="preserve">. </t>
    </r>
    <r>
      <rPr>
        <sz val="10"/>
        <color rgb="FF1B2430"/>
        <rFont val="Noto Sans CJK SC"/>
        <family val="2"/>
      </rPr>
      <t xml:space="preserve">일반 사용자 화면과 완전히 분리된 관리자 대시보드를 제공하며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현재 </t>
    </r>
    <r>
      <rPr>
        <sz val="10"/>
        <color rgb="FF1B2430"/>
        <rFont val="Arial"/>
        <family val="0"/>
        <charset val="1"/>
      </rPr>
      <t xml:space="preserve">AWS Lightsail</t>
    </r>
    <r>
      <rPr>
        <sz val="10"/>
        <color rgb="FF1B2430"/>
        <rFont val="Noto Sans CJK SC"/>
        <family val="2"/>
      </rPr>
      <t xml:space="preserve">에 실배포되어 </t>
    </r>
    <r>
      <rPr>
        <sz val="10"/>
        <color rgb="FF1B2430"/>
        <rFont val="Arial"/>
        <family val="0"/>
        <charset val="1"/>
      </rPr>
      <t xml:space="preserve">HTTPS</t>
    </r>
    <r>
      <rPr>
        <sz val="10"/>
        <color rgb="FF1B2430"/>
        <rFont val="Noto Sans CJK SC"/>
        <family val="2"/>
      </rPr>
      <t xml:space="preserve">로 서비스 중이다</t>
    </r>
    <r>
      <rPr>
        <sz val="10"/>
        <color rgb="FF1B2430"/>
        <rFont val="Arial"/>
        <family val="0"/>
        <charset val="1"/>
      </rPr>
      <t xml:space="preserve">.</t>
    </r>
  </si>
  <si>
    <t xml:space="preserve">배경</t>
  </si>
  <si>
    <r>
      <rPr>
        <sz val="10"/>
        <color rgb="FF1B2430"/>
        <rFont val="Arial"/>
        <family val="0"/>
        <charset val="1"/>
      </rPr>
      <t xml:space="preserve">FastAPI/Docker </t>
    </r>
    <r>
      <rPr>
        <sz val="10"/>
        <color rgb="FF1B2430"/>
        <rFont val="Noto Sans CJK SC"/>
        <family val="2"/>
      </rPr>
      <t xml:space="preserve">학습용 개인 미니 프로젝트로 시작했으나</t>
    </r>
    <r>
      <rPr>
        <sz val="10"/>
        <color rgb="FF1B2430"/>
        <rFont val="Arial"/>
        <family val="0"/>
        <charset val="1"/>
      </rPr>
      <t xml:space="preserve">, '</t>
    </r>
    <r>
      <rPr>
        <sz val="10"/>
        <color rgb="FF1B2430"/>
        <rFont val="Noto Sans CJK SC"/>
        <family val="2"/>
      </rPr>
      <t xml:space="preserve">실제 서비스와 동일한 수준</t>
    </r>
    <r>
      <rPr>
        <sz val="10"/>
        <color rgb="FF1B2430"/>
        <rFont val="Arial"/>
        <family val="0"/>
        <charset val="1"/>
      </rPr>
      <t xml:space="preserve">'</t>
    </r>
    <r>
      <rPr>
        <sz val="10"/>
        <color rgb="FF1B2430"/>
        <rFont val="Noto Sans CJK SC"/>
        <family val="2"/>
      </rPr>
      <t xml:space="preserve">으로 고도화하는 방향으로 확장됨</t>
    </r>
    <r>
      <rPr>
        <sz val="10"/>
        <color rgb="FF1B2430"/>
        <rFont val="Arial"/>
        <family val="0"/>
        <charset val="1"/>
      </rPr>
      <t xml:space="preserve">. </t>
    </r>
    <r>
      <rPr>
        <sz val="10"/>
        <color rgb="FF1B2430"/>
        <rFont val="Noto Sans CJK SC"/>
        <family val="2"/>
      </rPr>
      <t xml:space="preserve">외부 코드 감사</t>
    </r>
    <r>
      <rPr>
        <sz val="10"/>
        <color rgb="FF1B2430"/>
        <rFont val="Arial"/>
        <family val="0"/>
        <charset val="1"/>
      </rPr>
      <t xml:space="preserve">(AUDIT_REPORT.md, CTO_AUDIT_REPORT.md) </t>
    </r>
    <r>
      <rPr>
        <sz val="10"/>
        <color rgb="FF1B2430"/>
        <rFont val="Noto Sans CJK SC"/>
        <family val="2"/>
      </rPr>
      <t xml:space="preserve">기반 보안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성능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테스트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접근성 개선</t>
    </r>
    <r>
      <rPr>
        <sz val="10"/>
        <color rgb="FF1B2430"/>
        <rFont val="Arial"/>
        <family val="0"/>
        <charset val="1"/>
      </rPr>
      <t xml:space="preserve">(Phase 1~7)</t>
    </r>
    <r>
      <rPr>
        <sz val="10"/>
        <color rgb="FF1B2430"/>
        <rFont val="Noto Sans CJK SC"/>
        <family val="2"/>
      </rPr>
      <t xml:space="preserve">을 거쳐 실서버 배포까지 완료한 최종 상태를 본 문서에 정리했다</t>
    </r>
    <r>
      <rPr>
        <sz val="10"/>
        <color rgb="FF1B2430"/>
        <rFont val="Arial"/>
        <family val="0"/>
        <charset val="1"/>
      </rPr>
      <t xml:space="preserve">.</t>
    </r>
  </si>
  <si>
    <t xml:space="preserve">목표</t>
  </si>
  <si>
    <r>
      <rPr>
        <sz val="10"/>
        <color rgb="FF1B2430"/>
        <rFont val="Arial"/>
        <family val="0"/>
        <charset val="1"/>
      </rPr>
      <t xml:space="preserve">1) </t>
    </r>
    <r>
      <rPr>
        <sz val="10"/>
        <color rgb="FF1B2430"/>
        <rFont val="Noto Sans CJK SC"/>
        <family val="2"/>
      </rPr>
      <t xml:space="preserve">사용자가 매일의 건강 수치를 쉽게 기록하고 스스로 변화를 인지하게 한다</t>
    </r>
    <r>
      <rPr>
        <sz val="10"/>
        <color rgb="FF1B2430"/>
        <rFont val="Arial"/>
        <family val="0"/>
        <charset val="1"/>
      </rPr>
      <t xml:space="preserve">.
2) </t>
    </r>
    <r>
      <rPr>
        <sz val="10"/>
        <color rgb="FF1B2430"/>
        <rFont val="Noto Sans CJK SC"/>
        <family val="2"/>
      </rPr>
      <t xml:space="preserve">규칙</t>
    </r>
    <r>
      <rPr>
        <sz val="10"/>
        <color rgb="FF1B2430"/>
        <rFont val="Arial"/>
        <family val="0"/>
        <charset val="1"/>
      </rPr>
      <t xml:space="preserve">/AI </t>
    </r>
    <r>
      <rPr>
        <sz val="10"/>
        <color rgb="FF1B2430"/>
        <rFont val="Noto Sans CJK SC"/>
        <family val="2"/>
      </rPr>
      <t xml:space="preserve">기반 코칭과 리마인더로 단순 기록을 넘어 행동 변화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재방문을 유도한다</t>
    </r>
    <r>
      <rPr>
        <sz val="10"/>
        <color rgb="FF1B2430"/>
        <rFont val="Arial"/>
        <family val="0"/>
        <charset val="1"/>
      </rPr>
      <t xml:space="preserve">.
3) </t>
    </r>
    <r>
      <rPr>
        <sz val="10"/>
        <color rgb="FF1B2430"/>
        <rFont val="Noto Sans CJK SC"/>
        <family val="2"/>
      </rPr>
      <t xml:space="preserve">관리자가 서비스 상태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가입 추이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리텐션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위험 사용자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이상 징후</t>
    </r>
    <r>
      <rPr>
        <sz val="10"/>
        <color rgb="FF1B2430"/>
        <rFont val="Arial"/>
        <family val="0"/>
        <charset val="1"/>
      </rPr>
      <t xml:space="preserve">)</t>
    </r>
    <r>
      <rPr>
        <sz val="10"/>
        <color rgb="FF1B2430"/>
        <rFont val="Noto Sans CJK SC"/>
        <family val="2"/>
      </rPr>
      <t xml:space="preserve">를 한눈에 파악하게 한다</t>
    </r>
    <r>
      <rPr>
        <sz val="10"/>
        <color rgb="FF1B2430"/>
        <rFont val="Arial"/>
        <family val="0"/>
        <charset val="1"/>
      </rPr>
      <t xml:space="preserve">.
4) </t>
    </r>
    <r>
      <rPr>
        <sz val="10"/>
        <color rgb="FF1B2430"/>
        <rFont val="Noto Sans CJK SC"/>
        <family val="2"/>
      </rPr>
      <t xml:space="preserve">개인 건강정보를 다루는 서비스로서 실제 배포 수준의 보안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감사 기준을 지킨다</t>
    </r>
    <r>
      <rPr>
        <sz val="10"/>
        <color rgb="FF1B2430"/>
        <rFont val="Arial"/>
        <family val="0"/>
        <charset val="1"/>
      </rPr>
      <t xml:space="preserve">.</t>
    </r>
  </si>
  <si>
    <t xml:space="preserve">대상 사용자</t>
  </si>
  <si>
    <r>
      <rPr>
        <sz val="10"/>
        <color rgb="FF1B2430"/>
        <rFont val="Noto Sans CJK SC"/>
        <family val="2"/>
      </rPr>
      <t xml:space="preserve">일반 사용자</t>
    </r>
    <r>
      <rPr>
        <sz val="10"/>
        <color rgb="FF1B2430"/>
        <rFont val="Arial"/>
        <family val="0"/>
        <charset val="1"/>
      </rPr>
      <t xml:space="preserve">: </t>
    </r>
    <r>
      <rPr>
        <sz val="10"/>
        <color rgb="FF1B2430"/>
        <rFont val="Noto Sans CJK SC"/>
        <family val="2"/>
      </rPr>
      <t xml:space="preserve">본인 건강 지표를 꾸준히 기록하고 추이를 확인하려는 개인</t>
    </r>
    <r>
      <rPr>
        <sz val="10"/>
        <color rgb="FF1B2430"/>
        <rFont val="Arial"/>
        <family val="0"/>
        <charset val="1"/>
      </rPr>
      <t xml:space="preserve">.
</t>
    </r>
    <r>
      <rPr>
        <sz val="10"/>
        <color rgb="FF1B2430"/>
        <rFont val="Noto Sans CJK SC"/>
        <family val="2"/>
      </rPr>
      <t xml:space="preserve">관리자</t>
    </r>
    <r>
      <rPr>
        <sz val="10"/>
        <color rgb="FF1B2430"/>
        <rFont val="Arial"/>
        <family val="0"/>
        <charset val="1"/>
      </rPr>
      <t xml:space="preserve">: </t>
    </r>
    <r>
      <rPr>
        <sz val="10"/>
        <color rgb="FF1B2430"/>
        <rFont val="Noto Sans CJK SC"/>
        <family val="2"/>
      </rPr>
      <t xml:space="preserve">서비스 운영자 — 가입자 현황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리텐션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이상 사용자 대응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계정 관리를 담당</t>
    </r>
    <r>
      <rPr>
        <sz val="10"/>
        <color rgb="FF1B2430"/>
        <rFont val="Arial"/>
        <family val="0"/>
        <charset val="1"/>
      </rPr>
      <t xml:space="preserve">.</t>
    </r>
  </si>
  <si>
    <r>
      <rPr>
        <b val="true"/>
        <sz val="10"/>
        <color rgb="FF4A4A4A"/>
        <rFont val="Noto Sans CJK SC"/>
        <family val="2"/>
      </rPr>
      <t xml:space="preserve">성공 지표 </t>
    </r>
    <r>
      <rPr>
        <b val="true"/>
        <sz val="10"/>
        <color rgb="FF4A4A4A"/>
        <rFont val="Arial"/>
        <family val="0"/>
        <charset val="1"/>
      </rPr>
      <t xml:space="preserve">(</t>
    </r>
    <r>
      <rPr>
        <b val="true"/>
        <sz val="10"/>
        <color rgb="FF4A4A4A"/>
        <rFont val="Noto Sans CJK SC"/>
        <family val="2"/>
      </rPr>
      <t xml:space="preserve">제안</t>
    </r>
    <r>
      <rPr>
        <b val="true"/>
        <sz val="10"/>
        <color rgb="FF4A4A4A"/>
        <rFont val="Arial"/>
        <family val="0"/>
        <charset val="1"/>
      </rPr>
      <t xml:space="preserve">)</t>
    </r>
  </si>
  <si>
    <r>
      <rPr>
        <sz val="10"/>
        <color rgb="FF1B2430"/>
        <rFont val="Arial"/>
        <family val="0"/>
        <charset val="1"/>
      </rPr>
      <t xml:space="preserve">- </t>
    </r>
    <r>
      <rPr>
        <sz val="10"/>
        <color rgb="FF1B2430"/>
        <rFont val="Noto Sans CJK SC"/>
        <family val="2"/>
      </rPr>
      <t xml:space="preserve">가입 후 </t>
    </r>
    <r>
      <rPr>
        <sz val="10"/>
        <color rgb="FF1B2430"/>
        <rFont val="Arial"/>
        <family val="0"/>
        <charset val="1"/>
      </rPr>
      <t xml:space="preserve">7</t>
    </r>
    <r>
      <rPr>
        <sz val="10"/>
        <color rgb="FF1B2430"/>
        <rFont val="Noto Sans CJK SC"/>
        <family val="2"/>
      </rPr>
      <t xml:space="preserve">일 이내 </t>
    </r>
    <r>
      <rPr>
        <sz val="10"/>
        <color rgb="FF1B2430"/>
        <rFont val="Arial"/>
        <family val="0"/>
        <charset val="1"/>
      </rPr>
      <t xml:space="preserve">3</t>
    </r>
    <r>
      <rPr>
        <sz val="10"/>
        <color rgb="FF1B2430"/>
        <rFont val="Noto Sans CJK SC"/>
        <family val="2"/>
      </rPr>
      <t xml:space="preserve">회 이상 기록한 사용자 비율
</t>
    </r>
    <r>
      <rPr>
        <sz val="10"/>
        <color rgb="FF1B2430"/>
        <rFont val="Arial"/>
        <family val="0"/>
        <charset val="1"/>
      </rPr>
      <t xml:space="preserve">- </t>
    </r>
    <r>
      <rPr>
        <sz val="10"/>
        <color rgb="FF1B2430"/>
        <rFont val="Noto Sans CJK SC"/>
        <family val="2"/>
      </rPr>
      <t xml:space="preserve">코호트 리텐션</t>
    </r>
    <r>
      <rPr>
        <sz val="10"/>
        <color rgb="FF1B2430"/>
        <rFont val="Arial"/>
        <family val="0"/>
        <charset val="1"/>
      </rPr>
      <t xml:space="preserve">(N</t>
    </r>
    <r>
      <rPr>
        <sz val="10"/>
        <color rgb="FF1B2430"/>
        <rFont val="Noto Sans CJK SC"/>
        <family val="2"/>
      </rPr>
      <t xml:space="preserve">주차 활동 비율</t>
    </r>
    <r>
      <rPr>
        <sz val="10"/>
        <color rgb="FF1B2430"/>
        <rFont val="Arial"/>
        <family val="0"/>
        <charset val="1"/>
      </rPr>
      <t xml:space="preserve">) </t>
    </r>
    <r>
      <rPr>
        <sz val="10"/>
        <color rgb="FF1B2430"/>
        <rFont val="Noto Sans CJK SC"/>
        <family val="2"/>
      </rPr>
      <t xml:space="preserve">추이
</t>
    </r>
    <r>
      <rPr>
        <sz val="10"/>
        <color rgb="FF1B2430"/>
        <rFont val="Arial"/>
        <family val="0"/>
        <charset val="1"/>
      </rPr>
      <t xml:space="preserve">- </t>
    </r>
    <r>
      <rPr>
        <sz val="10"/>
        <color rgb="FF1B2430"/>
        <rFont val="Noto Sans CJK SC"/>
        <family val="2"/>
      </rPr>
      <t xml:space="preserve">목표를 설정한 사용자 중 달성 비율
</t>
    </r>
    <r>
      <rPr>
        <sz val="10"/>
        <color rgb="FF1B2430"/>
        <rFont val="Arial"/>
        <family val="0"/>
        <charset val="1"/>
      </rPr>
      <t xml:space="preserve">- Web Push </t>
    </r>
    <r>
      <rPr>
        <sz val="10"/>
        <color rgb="FF1B2430"/>
        <rFont val="Noto Sans CJK SC"/>
        <family val="2"/>
      </rPr>
      <t xml:space="preserve">리마인더 발송 후 재방문율
</t>
    </r>
    <r>
      <rPr>
        <sz val="10"/>
        <color rgb="FF1B2430"/>
        <rFont val="Arial"/>
        <family val="0"/>
        <charset val="1"/>
      </rPr>
      <t xml:space="preserve">(※ </t>
    </r>
    <r>
      <rPr>
        <sz val="10"/>
        <color rgb="FF1B2430"/>
        <rFont val="Noto Sans CJK SC"/>
        <family val="2"/>
      </rPr>
      <t xml:space="preserve">실측 계측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애널리틱스 파이프라인은 관리자 대시보드 지표로 일부 확보됨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별도 </t>
    </r>
    <r>
      <rPr>
        <sz val="10"/>
        <color rgb="FF1B2430"/>
        <rFont val="Arial"/>
        <family val="0"/>
        <charset val="1"/>
      </rPr>
      <t xml:space="preserve">BI </t>
    </r>
    <r>
      <rPr>
        <sz val="10"/>
        <color rgb="FF1B2430"/>
        <rFont val="Noto Sans CJK SC"/>
        <family val="2"/>
      </rPr>
      <t xml:space="preserve">도구 연동은 없음</t>
    </r>
    <r>
      <rPr>
        <sz val="10"/>
        <color rgb="FF1B2430"/>
        <rFont val="Arial"/>
        <family val="0"/>
        <charset val="1"/>
      </rPr>
      <t xml:space="preserve">)</t>
    </r>
  </si>
  <si>
    <r>
      <rPr>
        <b val="true"/>
        <sz val="10"/>
        <color rgb="FF4A4A4A"/>
        <rFont val="Noto Sans CJK SC"/>
        <family val="2"/>
      </rPr>
      <t xml:space="preserve">범위 밖 </t>
    </r>
    <r>
      <rPr>
        <b val="true"/>
        <sz val="10"/>
        <color rgb="FF4A4A4A"/>
        <rFont val="Arial"/>
        <family val="0"/>
        <charset val="1"/>
      </rPr>
      <t xml:space="preserve">(Non-Goals)</t>
    </r>
  </si>
  <si>
    <r>
      <rPr>
        <sz val="10"/>
        <color rgb="FF1B2430"/>
        <rFont val="Noto Sans CJK SC"/>
        <family val="2"/>
      </rPr>
      <t xml:space="preserve">실제 의학적 진단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처방 제공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결제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구독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소셜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공유 기능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리마인더 자동 스케줄링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현재는 관리자 수동 트리거</t>
    </r>
    <r>
      <rPr>
        <sz val="10"/>
        <color rgb="FF1B2430"/>
        <rFont val="Arial"/>
        <family val="0"/>
        <charset val="1"/>
      </rPr>
      <t xml:space="preserve">). </t>
    </r>
    <r>
      <rPr>
        <sz val="10"/>
        <color rgb="FF1B2430"/>
        <rFont val="Noto Sans CJK SC"/>
        <family val="2"/>
      </rPr>
      <t xml:space="preserve">자세한 목록은 </t>
    </r>
    <r>
      <rPr>
        <sz val="10"/>
        <color rgb="FF1B2430"/>
        <rFont val="Arial"/>
        <family val="0"/>
        <charset val="1"/>
      </rPr>
      <t xml:space="preserve">'Out of Scope' </t>
    </r>
    <r>
      <rPr>
        <sz val="10"/>
        <color rgb="FF1B2430"/>
        <rFont val="Noto Sans CJK SC"/>
        <family val="2"/>
      </rPr>
      <t xml:space="preserve">시트 참고</t>
    </r>
    <r>
      <rPr>
        <sz val="10"/>
        <color rgb="FF1B2430"/>
        <rFont val="Arial"/>
        <family val="0"/>
        <charset val="1"/>
      </rPr>
      <t xml:space="preserve">.</t>
    </r>
  </si>
  <si>
    <t xml:space="preserve">ID</t>
  </si>
  <si>
    <t xml:space="preserve">기능</t>
  </si>
  <si>
    <t xml:space="preserve">User Story</t>
  </si>
  <si>
    <t xml:space="preserve">상태</t>
  </si>
  <si>
    <r>
      <rPr>
        <b val="true"/>
        <sz val="10"/>
        <color rgb="FFFFFFFF"/>
        <rFont val="Noto Sans CJK SC"/>
        <family val="2"/>
      </rPr>
      <t xml:space="preserve">관련 </t>
    </r>
    <r>
      <rPr>
        <b val="true"/>
        <sz val="10"/>
        <color rgb="FFFFFFFF"/>
        <rFont val="Arial"/>
        <family val="0"/>
        <charset val="1"/>
      </rPr>
      <t xml:space="preserve">API/</t>
    </r>
    <r>
      <rPr>
        <b val="true"/>
        <sz val="10"/>
        <color rgb="FFFFFFFF"/>
        <rFont val="Noto Sans CJK SC"/>
        <family val="2"/>
      </rPr>
      <t xml:space="preserve">모듈</t>
    </r>
  </si>
  <si>
    <r>
      <rPr>
        <b val="true"/>
        <sz val="10"/>
        <color rgb="FFFFFFFF"/>
        <rFont val="Noto Sans CJK SC"/>
        <family val="2"/>
      </rPr>
      <t xml:space="preserve">인수 조건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비고</t>
    </r>
  </si>
  <si>
    <t xml:space="preserve">AUTH-01</t>
  </si>
  <si>
    <t xml:space="preserve">회원가입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</si>
  <si>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아이디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이름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비밀번호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보안질문으로 계정을 만들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</si>
  <si>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Implemented</t>
  </si>
  <si>
    <t xml:space="preserve">POST /auth/signup</t>
  </si>
  <si>
    <r>
      <rPr>
        <sz val="10"/>
        <color rgb="FF1B2430"/>
        <rFont val="Noto Sans CJK SC"/>
        <family val="2"/>
      </rPr>
      <t xml:space="preserve">흔한 비밀번호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아이디</t>
    </r>
    <r>
      <rPr>
        <sz val="10"/>
        <color rgb="FF1B2430"/>
        <rFont val="Arial"/>
        <family val="0"/>
        <charset val="1"/>
      </rPr>
      <t xml:space="preserve">=</t>
    </r>
    <r>
      <rPr>
        <sz val="10"/>
        <color rgb="FF1B2430"/>
        <rFont val="Noto Sans CJK SC"/>
        <family val="2"/>
      </rPr>
      <t xml:space="preserve">비밀번호 차단</t>
    </r>
    <r>
      <rPr>
        <sz val="10"/>
        <color rgb="FF1B2430"/>
        <rFont val="Arial"/>
        <family val="0"/>
        <charset val="1"/>
      </rPr>
      <t xml:space="preserve">(422). role</t>
    </r>
    <r>
      <rPr>
        <sz val="10"/>
        <color rgb="FF1B2430"/>
        <rFont val="Noto Sans CJK SC"/>
        <family val="2"/>
      </rPr>
      <t xml:space="preserve">은 항상 </t>
    </r>
    <r>
      <rPr>
        <sz val="10"/>
        <color rgb="FF1B2430"/>
        <rFont val="Arial"/>
        <family val="0"/>
        <charset val="1"/>
      </rPr>
      <t xml:space="preserve">user</t>
    </r>
    <r>
      <rPr>
        <sz val="10"/>
        <color rgb="FF1B2430"/>
        <rFont val="Noto Sans CJK SC"/>
        <family val="2"/>
      </rPr>
      <t xml:space="preserve">로 고정 생성</t>
    </r>
    <r>
      <rPr>
        <sz val="10"/>
        <color rgb="FF1B2430"/>
        <rFont val="Arial"/>
        <family val="0"/>
        <charset val="1"/>
      </rPr>
      <t xml:space="preserve">. </t>
    </r>
    <r>
      <rPr>
        <sz val="10"/>
        <color rgb="FF1B2430"/>
        <rFont val="Noto Sans CJK SC"/>
        <family val="2"/>
      </rPr>
      <t xml:space="preserve">이름은 신규가입부터 필수</t>
    </r>
  </si>
  <si>
    <t xml:space="preserve">AUTH-02</t>
  </si>
  <si>
    <r>
      <rPr>
        <sz val="10"/>
        <color rgb="FF1B2430"/>
        <rFont val="Noto Sans CJK SC"/>
        <family val="2"/>
      </rPr>
      <t xml:space="preserve">로그인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로그아웃</t>
    </r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</si>
  <si>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로그인하면 본인 데이터만 볼 수 있고 로그아웃하면 세션이 즉시 폐기된다</t>
    </r>
    <r>
      <rPr>
        <sz val="10"/>
        <color rgb="FF1B2430"/>
        <rFont val="Arial"/>
        <family val="0"/>
        <charset val="1"/>
      </rPr>
      <t xml:space="preserve">.</t>
    </r>
  </si>
  <si>
    <t xml:space="preserve">POST /auth/login, POST /auth/logout</t>
  </si>
  <si>
    <r>
      <rPr>
        <sz val="10"/>
        <color rgb="FF1B2430"/>
        <rFont val="Arial"/>
        <family val="0"/>
        <charset val="1"/>
      </rPr>
      <t xml:space="preserve">HttpOnly </t>
    </r>
    <r>
      <rPr>
        <sz val="10"/>
        <color rgb="FF1B2430"/>
        <rFont val="Noto Sans CJK SC"/>
        <family val="2"/>
      </rPr>
      <t xml:space="preserve">쿠키 </t>
    </r>
    <r>
      <rPr>
        <sz val="10"/>
        <color rgb="FF1B2430"/>
        <rFont val="Arial"/>
        <family val="0"/>
        <charset val="1"/>
      </rPr>
      <t xml:space="preserve">+ </t>
    </r>
    <r>
      <rPr>
        <sz val="10"/>
        <color rgb="FF1B2430"/>
        <rFont val="Noto Sans CJK SC"/>
        <family val="2"/>
      </rPr>
      <t xml:space="preserve">서버 </t>
    </r>
    <r>
      <rPr>
        <sz val="10"/>
        <color rgb="FF1B2430"/>
        <rFont val="Arial"/>
        <family val="0"/>
        <charset val="1"/>
      </rPr>
      <t xml:space="preserve">DB </t>
    </r>
    <r>
      <rPr>
        <sz val="10"/>
        <color rgb="FF1B2430"/>
        <rFont val="Noto Sans CJK SC"/>
        <family val="2"/>
      </rPr>
      <t xml:space="preserve">세션 토큰</t>
    </r>
    <r>
      <rPr>
        <sz val="10"/>
        <color rgb="FF1B2430"/>
        <rFont val="Arial"/>
        <family val="0"/>
        <charset val="1"/>
      </rPr>
      <t xml:space="preserve">(JWT </t>
    </r>
    <r>
      <rPr>
        <sz val="10"/>
        <color rgb="FF1B2430"/>
        <rFont val="Noto Sans CJK SC"/>
        <family val="2"/>
      </rPr>
      <t xml:space="preserve">아님</t>
    </r>
    <r>
      <rPr>
        <sz val="10"/>
        <color rgb="FF1B2430"/>
        <rFont val="Arial"/>
        <family val="0"/>
        <charset val="1"/>
      </rPr>
      <t xml:space="preserve">)</t>
    </r>
  </si>
  <si>
    <t xml:space="preserve">AUTH-03</t>
  </si>
  <si>
    <t xml:space="preserve">계정 잠금</t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</si>
  <si>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5</t>
    </r>
    <r>
      <rPr>
        <sz val="10"/>
        <color rgb="FF1B2430"/>
        <rFont val="Noto Sans CJK SC"/>
        <family val="2"/>
      </rPr>
      <t xml:space="preserve">회 연속 로그인 실패 시 해당 계정을 </t>
    </r>
    <r>
      <rPr>
        <sz val="10"/>
        <color rgb="FF1B2430"/>
        <rFont val="Arial"/>
        <family val="0"/>
        <charset val="1"/>
      </rPr>
      <t xml:space="preserve">15</t>
    </r>
    <r>
      <rPr>
        <sz val="10"/>
        <color rgb="FF1B2430"/>
        <rFont val="Noto Sans CJK SC"/>
        <family val="2"/>
      </rPr>
      <t xml:space="preserve">분간 잠가야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</si>
  <si>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auth.py</t>
  </si>
  <si>
    <r>
      <rPr>
        <sz val="10"/>
        <color rgb="FF1B2430"/>
        <rFont val="Arial"/>
        <family val="0"/>
        <charset val="1"/>
      </rPr>
      <t xml:space="preserve">423 </t>
    </r>
    <r>
      <rPr>
        <sz val="10"/>
        <color rgb="FF1B2430"/>
        <rFont val="Noto Sans CJK SC"/>
        <family val="2"/>
      </rPr>
      <t xml:space="preserve">응답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성공 시 카운트 초기화</t>
    </r>
  </si>
  <si>
    <t xml:space="preserve">AUTH-04</t>
  </si>
  <si>
    <r>
      <rPr>
        <sz val="10"/>
        <color rgb="FF1B2430"/>
        <rFont val="Arial"/>
        <family val="0"/>
        <charset val="1"/>
      </rPr>
      <t xml:space="preserve">IP </t>
    </r>
    <r>
      <rPr>
        <sz val="10"/>
        <color rgb="FF1B2430"/>
        <rFont val="Noto Sans CJK SC"/>
        <family val="2"/>
      </rPr>
      <t xml:space="preserve">기준 요청 제한</t>
    </r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</si>
  <si>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반복적인 가입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로그인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비밀번호 재설정 시도를 제한해야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</si>
  <si>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rate_limit.py</t>
  </si>
  <si>
    <r>
      <rPr>
        <sz val="10"/>
        <color rgb="FF1B2430"/>
        <rFont val="Noto Sans CJK SC"/>
        <family val="2"/>
      </rPr>
      <t xml:space="preserve">엔드포인트별 별도 한도</t>
    </r>
    <r>
      <rPr>
        <sz val="10"/>
        <color rgb="FF1B2430"/>
        <rFont val="Arial"/>
        <family val="0"/>
        <charset val="1"/>
      </rPr>
      <t xml:space="preserve">, 429 </t>
    </r>
    <r>
      <rPr>
        <sz val="10"/>
        <color rgb="FF1B2430"/>
        <rFont val="Noto Sans CJK SC"/>
        <family val="2"/>
      </rPr>
      <t xml:space="preserve">응답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단일 워커 전제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문서화된 한계</t>
    </r>
    <r>
      <rPr>
        <sz val="10"/>
        <color rgb="FF1B2430"/>
        <rFont val="Arial"/>
        <family val="0"/>
        <charset val="1"/>
      </rPr>
      <t xml:space="preserve">)</t>
    </r>
  </si>
  <si>
    <t xml:space="preserve">AUTH-05</t>
  </si>
  <si>
    <r>
      <rPr>
        <sz val="10"/>
        <color rgb="FF1B2430"/>
        <rFont val="Noto Sans CJK SC"/>
        <family val="2"/>
      </rPr>
      <t xml:space="preserve">비밀번호 찾기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보안질문</t>
    </r>
    <r>
      <rPr>
        <sz val="10"/>
        <color rgb="FF1B2430"/>
        <rFont val="Arial"/>
        <family val="0"/>
        <charset val="1"/>
      </rPr>
      <t xml:space="preserve">)</t>
    </r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</si>
  <si>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이메일 없이도 보안질문 답으로 비밀번호를 재설정할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</si>
  <si>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/auth/security-question, POST /auth/reset-password</t>
  </si>
  <si>
    <r>
      <rPr>
        <sz val="10"/>
        <color rgb="FF1B2430"/>
        <rFont val="Noto Sans CJK SC"/>
        <family val="2"/>
      </rPr>
      <t xml:space="preserve">답은 대소문자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공백 정규화 후 비교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재설정 시 기존 세션 전부 무효화</t>
    </r>
  </si>
  <si>
    <t xml:space="preserve">AUTH-06</t>
  </si>
  <si>
    <t xml:space="preserve">비밀번호 변경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</si>
  <si>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로그인 상태에서 현재 비밀번호 확인 후 비밀번호를 바꿀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</si>
  <si>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POST /auth/change-password</t>
  </si>
  <si>
    <r>
      <rPr>
        <sz val="10"/>
        <color rgb="FF1B2430"/>
        <rFont val="Noto Sans CJK SC"/>
        <family val="2"/>
      </rPr>
      <t xml:space="preserve">변경 후 현재 세션은 유지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다른 기기 세션은 무효화</t>
    </r>
  </si>
  <si>
    <t xml:space="preserve">AUTH-07</t>
  </si>
  <si>
    <t xml:space="preserve">이름 변경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</si>
  <si>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표시 이름을 나중에 설정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변경할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</si>
  <si>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POST /auth/change-name</t>
  </si>
  <si>
    <t xml:space="preserve">이름 필드 추가 전 가입한 기존 계정 보완용</t>
  </si>
  <si>
    <t xml:space="preserve">AUTH-08</t>
  </si>
  <si>
    <t xml:space="preserve">회원 탈퇴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</si>
  <si>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비밀번호 재확인 후 내 계정과 모든 데이터를 삭제할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</si>
  <si>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DELETE /auth/me</t>
  </si>
  <si>
    <r>
      <rPr>
        <sz val="10"/>
        <color rgb="FF1B2430"/>
        <rFont val="Noto Sans CJK SC"/>
        <family val="2"/>
      </rPr>
      <t xml:space="preserve">기록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목표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세션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배지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코칭캐시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구독 </t>
    </r>
    <r>
      <rPr>
        <sz val="10"/>
        <color rgb="FF1B2430"/>
        <rFont val="Arial"/>
        <family val="0"/>
        <charset val="1"/>
      </rPr>
      <t xml:space="preserve">cascade </t>
    </r>
    <r>
      <rPr>
        <sz val="10"/>
        <color rgb="FF1B2430"/>
        <rFont val="Noto Sans CJK SC"/>
        <family val="2"/>
      </rPr>
      <t xml:space="preserve">삭제</t>
    </r>
  </si>
  <si>
    <t xml:space="preserve">AUTH-09</t>
  </si>
  <si>
    <t xml:space="preserve">관리자 비밀번호 강제 재설정</t>
  </si>
  <si>
    <r>
      <rPr>
        <sz val="10"/>
        <color rgb="FF1B2430"/>
        <rFont val="Noto Sans CJK SC"/>
        <family val="2"/>
      </rPr>
      <t xml:space="preserve">관리자로서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셀프 복구가 막힌 사용자의 비밀번호를 임시값으로 재설정해줄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</si>
  <si>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POST /admin/users/{id}/reset-password</t>
  </si>
  <si>
    <r>
      <rPr>
        <sz val="10"/>
        <color rgb="FF1B2430"/>
        <rFont val="Noto Sans CJK SC"/>
        <family val="2"/>
      </rPr>
      <t xml:space="preserve">무작위 임시비밀번호 생성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기존 세션 전부 무효화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감사로그엔 값 자체는 미기록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자기자신 대상 차단</t>
    </r>
  </si>
  <si>
    <t xml:space="preserve">REC-01</t>
  </si>
  <si>
    <r>
      <rPr>
        <sz val="10"/>
        <color rgb="FF1B2430"/>
        <rFont val="Noto Sans CJK SC"/>
        <family val="2"/>
      </rPr>
      <t xml:space="preserve">건강기록 </t>
    </r>
    <r>
      <rPr>
        <sz val="10"/>
        <color rgb="FF1B2430"/>
        <rFont val="Arial"/>
        <family val="0"/>
        <charset val="1"/>
      </rPr>
      <t xml:space="preserve">CRUD</t>
    </r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</si>
  <si>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매일의 체중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혈압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혈당 등을 기록하고 수정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삭제할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</si>
  <si>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POST/GET/PUT/DELETE /records</t>
  </si>
  <si>
    <r>
      <rPr>
        <sz val="10"/>
        <color rgb="FF1B2430"/>
        <rFont val="Noto Sans CJK SC"/>
        <family val="2"/>
      </rPr>
      <t xml:space="preserve">본인 기록만 접근 가능</t>
    </r>
    <r>
      <rPr>
        <sz val="10"/>
        <color rgb="FF1B2430"/>
        <rFont val="Arial"/>
        <family val="0"/>
        <charset val="1"/>
      </rPr>
      <t xml:space="preserve">(IDOR </t>
    </r>
    <r>
      <rPr>
        <sz val="10"/>
        <color rgb="FF1B2430"/>
        <rFont val="Noto Sans CJK SC"/>
        <family val="2"/>
      </rPr>
      <t xml:space="preserve">방지</t>
    </r>
    <r>
      <rPr>
        <sz val="10"/>
        <color rgb="FF1B2430"/>
        <rFont val="Arial"/>
        <family val="0"/>
        <charset val="1"/>
      </rPr>
      <t xml:space="preserve">, 404)</t>
    </r>
  </si>
  <si>
    <t xml:space="preserve">REC-02</t>
  </si>
  <si>
    <r>
      <rPr>
        <sz val="10"/>
        <color rgb="FF1B2430"/>
        <rFont val="Arial"/>
        <family val="0"/>
        <charset val="1"/>
      </rPr>
      <t xml:space="preserve">BMI/</t>
    </r>
    <r>
      <rPr>
        <sz val="10"/>
        <color rgb="FF1B2430"/>
        <rFont val="Noto Sans CJK SC"/>
        <family val="2"/>
      </rPr>
      <t xml:space="preserve">혈압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혈당 자동 분류</t>
    </r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</si>
  <si>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입력값으로 </t>
    </r>
    <r>
      <rPr>
        <sz val="10"/>
        <color rgb="FF1B2430"/>
        <rFont val="Arial"/>
        <family val="0"/>
        <charset val="1"/>
      </rPr>
      <t xml:space="preserve">BMI</t>
    </r>
    <r>
      <rPr>
        <sz val="10"/>
        <color rgb="FF1B2430"/>
        <rFont val="Noto Sans CJK SC"/>
        <family val="2"/>
      </rPr>
      <t xml:space="preserve">를 계산하고 등급과 경고를 자동 산출해야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</si>
  <si>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health_logic.py</t>
  </si>
  <si>
    <r>
      <rPr>
        <sz val="10"/>
        <color rgb="FF1B2430"/>
        <rFont val="Noto Sans CJK SC"/>
        <family val="2"/>
      </rPr>
      <t xml:space="preserve">기준값은 학습용 단순화 값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의학적 진단 아님</t>
    </r>
  </si>
  <si>
    <t xml:space="preserve">REC-03</t>
  </si>
  <si>
    <t xml:space="preserve">날짜 범위 검색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</si>
  <si>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특정 기간의 기록만 조회할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</si>
  <si>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/search</t>
  </si>
  <si>
    <t xml:space="preserve">REC-04</t>
  </si>
  <si>
    <t xml:space="preserve">통계 요약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</si>
  <si>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평균값과 분류별 분포를 확인할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</si>
  <si>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/stats</t>
  </si>
  <si>
    <t xml:space="preserve">REC-05</t>
  </si>
  <si>
    <t xml:space="preserve">입력값 검증</t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</si>
  <si>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비정상 수치나 존재하지 않는 날짜를 거부해야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</si>
  <si>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schemas.py</t>
  </si>
  <si>
    <r>
      <rPr>
        <sz val="10"/>
        <color rgb="FF1B2430"/>
        <rFont val="Arial"/>
        <family val="0"/>
        <charset val="1"/>
      </rPr>
      <t xml:space="preserve">422 </t>
    </r>
    <r>
      <rPr>
        <sz val="10"/>
        <color rgb="FF1B2430"/>
        <rFont val="Noto Sans CJK SC"/>
        <family val="2"/>
      </rPr>
      <t xml:space="preserve">응답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체중≤</t>
    </r>
    <r>
      <rPr>
        <sz val="10"/>
        <color rgb="FF1B2430"/>
        <rFont val="Arial"/>
        <family val="0"/>
        <charset val="1"/>
      </rPr>
      <t xml:space="preserve">500kg </t>
    </r>
    <r>
      <rPr>
        <sz val="10"/>
        <color rgb="FF1B2430"/>
        <rFont val="Noto Sans CJK SC"/>
        <family val="2"/>
      </rPr>
      <t xml:space="preserve">등 상한선 </t>
    </r>
    <r>
      <rPr>
        <sz val="10"/>
        <color rgb="FF1B2430"/>
        <rFont val="Arial"/>
        <family val="0"/>
        <charset val="1"/>
      </rPr>
      <t xml:space="preserve">+ </t>
    </r>
    <r>
      <rPr>
        <sz val="10"/>
        <color rgb="FF1B2430"/>
        <rFont val="Noto Sans CJK SC"/>
        <family val="2"/>
      </rPr>
      <t xml:space="preserve">실제 날짜 검증</t>
    </r>
  </si>
  <si>
    <t xml:space="preserve">REC-06</t>
  </si>
  <si>
    <t xml:space="preserve">기록 목록 서버사이드 페이지네이션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</si>
  <si>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기록이 많아져도 목록 조회가 느려지지 않아야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</si>
  <si>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/records</t>
  </si>
  <si>
    <r>
      <rPr>
        <sz val="10"/>
        <color rgb="FF1B2430"/>
        <rFont val="Noto Sans CJK SC"/>
        <family val="2"/>
      </rPr>
      <t xml:space="preserve">관리자 목록과 동일한 방식으로 전환</t>
    </r>
    <r>
      <rPr>
        <sz val="10"/>
        <color rgb="FF1B2430"/>
        <rFont val="Arial"/>
        <family val="0"/>
        <charset val="1"/>
      </rPr>
      <t xml:space="preserve">(v1.0</t>
    </r>
    <r>
      <rPr>
        <sz val="10"/>
        <color rgb="FF1B2430"/>
        <rFont val="Noto Sans CJK SC"/>
        <family val="2"/>
      </rPr>
      <t xml:space="preserve">의 클라이언트 페이지네이션 대체</t>
    </r>
    <r>
      <rPr>
        <sz val="10"/>
        <color rgb="FF1B2430"/>
        <rFont val="Arial"/>
        <family val="0"/>
        <charset val="1"/>
      </rPr>
      <t xml:space="preserve">)</t>
    </r>
  </si>
  <si>
    <t xml:space="preserve">GOAL-01</t>
  </si>
  <si>
    <t xml:space="preserve">목표 설정 및 달성 여부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</si>
  <si>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목표 체중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혈압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혈당을 설정하고 달성 여부를 확인할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</si>
  <si>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POST/GET /goals</t>
  </si>
  <si>
    <t xml:space="preserve">GOAL-02</t>
  </si>
  <si>
    <t xml:space="preserve">목표 달성 예측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</si>
  <si>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현재 추세 유지 시 목표까지 예상 소요일을 볼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</si>
  <si>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goal_prediction.py</t>
  </si>
  <si>
    <r>
      <rPr>
        <sz val="10"/>
        <color rgb="FF1B2430"/>
        <rFont val="Noto Sans CJK SC"/>
        <family val="2"/>
      </rPr>
      <t xml:space="preserve">평균 변화량 기반 추정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회귀분석 아님</t>
    </r>
    <r>
      <rPr>
        <sz val="10"/>
        <color rgb="FF1B2430"/>
        <rFont val="Arial"/>
        <family val="0"/>
        <charset val="1"/>
      </rPr>
      <t xml:space="preserve">)</t>
    </r>
  </si>
  <si>
    <t xml:space="preserve">REPORT-01</t>
  </si>
  <si>
    <t xml:space="preserve">주간 리포트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</si>
  <si>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이번 주와 지난 주 평균을 비교해 변화를 볼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</si>
  <si>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/reports/weekly</t>
  </si>
  <si>
    <t xml:space="preserve">REPORT-02</t>
  </si>
  <si>
    <r>
      <rPr>
        <sz val="10"/>
        <color rgb="FF1B2430"/>
        <rFont val="Arial"/>
        <family val="0"/>
        <charset val="1"/>
      </rPr>
      <t xml:space="preserve">AI </t>
    </r>
    <r>
      <rPr>
        <sz val="10"/>
        <color rgb="FF1B2430"/>
        <rFont val="Noto Sans CJK SC"/>
        <family val="2"/>
      </rPr>
      <t xml:space="preserve">주간 요약 문단</t>
    </r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</si>
  <si>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주간 리포트를 자연어 요약 문단으로도 볼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</si>
  <si>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health_coach.generate_weekly_summary</t>
  </si>
  <si>
    <r>
      <rPr>
        <sz val="10"/>
        <color rgb="FF1B2430"/>
        <rFont val="Arial"/>
        <family val="0"/>
        <charset val="1"/>
      </rPr>
      <t xml:space="preserve">LLM </t>
    </r>
    <r>
      <rPr>
        <sz val="10"/>
        <color rgb="FF1B2430"/>
        <rFont val="Noto Sans CJK SC"/>
        <family val="2"/>
      </rPr>
      <t xml:space="preserve">연동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실패 시 규칙 기반 문장 생성으로 폴백</t>
    </r>
  </si>
  <si>
    <t xml:space="preserve">AI-01</t>
  </si>
  <si>
    <r>
      <rPr>
        <sz val="10"/>
        <color rgb="FF1B2430"/>
        <rFont val="Noto Sans CJK SC"/>
        <family val="2"/>
      </rPr>
      <t xml:space="preserve">건강 코칭 메시지 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실 </t>
    </r>
    <r>
      <rPr>
        <sz val="10"/>
        <color rgb="FF1B2430"/>
        <rFont val="Arial"/>
        <family val="0"/>
        <charset val="1"/>
      </rPr>
      <t xml:space="preserve">LLM </t>
    </r>
    <r>
      <rPr>
        <sz val="10"/>
        <color rgb="FF1B2430"/>
        <rFont val="Noto Sans CJK SC"/>
        <family val="2"/>
      </rPr>
      <t xml:space="preserve">연동</t>
    </r>
    <r>
      <rPr>
        <sz val="10"/>
        <color rgb="FF1B2430"/>
        <rFont val="Arial"/>
        <family val="0"/>
        <charset val="1"/>
      </rPr>
      <t xml:space="preserve">)</t>
    </r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</si>
  <si>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최근 추세 기반의 맞춤 건강 조언을 받을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</si>
  <si>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/health-coaching</t>
  </si>
  <si>
    <r>
      <rPr>
        <sz val="10"/>
        <color rgb="FF1B2430"/>
        <rFont val="Arial"/>
        <family val="0"/>
        <charset val="1"/>
      </rPr>
      <t xml:space="preserve">OpenAI(gpt-4o-mini) </t>
    </r>
    <r>
      <rPr>
        <sz val="10"/>
        <color rgb="FF1B2430"/>
        <rFont val="Noto Sans CJK SC"/>
        <family val="2"/>
      </rPr>
      <t xml:space="preserve">우선 호출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실패시 규칙기반 폴백</t>
    </r>
    <r>
      <rPr>
        <sz val="10"/>
        <color rgb="FF1B2430"/>
        <rFont val="Arial"/>
        <family val="0"/>
        <charset val="1"/>
      </rPr>
      <t xml:space="preserve">, 1</t>
    </r>
    <r>
      <rPr>
        <sz val="10"/>
        <color rgb="FF1B2430"/>
        <rFont val="Noto Sans CJK SC"/>
        <family val="2"/>
      </rPr>
      <t xml:space="preserve">일 </t>
    </r>
    <r>
      <rPr>
        <sz val="10"/>
        <color rgb="FF1B2430"/>
        <rFont val="Arial"/>
        <family val="0"/>
        <charset val="1"/>
      </rPr>
      <t xml:space="preserve">1</t>
    </r>
    <r>
      <rPr>
        <sz val="10"/>
        <color rgb="FF1B2430"/>
        <rFont val="Noto Sans CJK SC"/>
        <family val="2"/>
      </rPr>
      <t xml:space="preserve">회 캐싱</t>
    </r>
    <r>
      <rPr>
        <sz val="10"/>
        <color rgb="FF1B2430"/>
        <rFont val="Arial"/>
        <family val="0"/>
        <charset val="1"/>
      </rPr>
      <t xml:space="preserve">(coaching_cache)</t>
    </r>
  </si>
  <si>
    <t xml:space="preserve">AI-02</t>
  </si>
  <si>
    <t xml:space="preserve">건강 추세 분석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</si>
  <si>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지표별 상승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하락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유지 추세를 확인할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</si>
  <si>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/trends</t>
  </si>
  <si>
    <t xml:space="preserve">AI-03</t>
  </si>
  <si>
    <t xml:space="preserve">이상 징후 감지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</si>
  <si>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수치 급변 시 경고 배너로 안내받는다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</si>
  <si>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/risk-detection</t>
  </si>
  <si>
    <t xml:space="preserve">LOW/MEDIUM/HIGH</t>
  </si>
  <si>
    <t xml:space="preserve">AI-04</t>
  </si>
  <si>
    <t xml:space="preserve">Health Score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</si>
  <si>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종합 건강 점수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참고용</t>
    </r>
    <r>
      <rPr>
        <sz val="10"/>
        <color rgb="FF1B2430"/>
        <rFont val="Arial"/>
        <family val="0"/>
        <charset val="1"/>
      </rPr>
      <t xml:space="preserve">)</t>
    </r>
    <r>
      <rPr>
        <sz val="10"/>
        <color rgb="FF1B2430"/>
        <rFont val="Noto Sans CJK SC"/>
        <family val="2"/>
      </rPr>
      <t xml:space="preserve">를 확인할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</si>
  <si>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/health-score</t>
  </si>
  <si>
    <r>
      <rPr>
        <sz val="10"/>
        <color rgb="FF1B2430"/>
        <rFont val="Noto Sans CJK SC"/>
        <family val="2"/>
      </rPr>
      <t xml:space="preserve">가중치</t>
    </r>
    <r>
      <rPr>
        <sz val="10"/>
        <color rgb="FF1B2430"/>
        <rFont val="Arial"/>
        <family val="0"/>
        <charset val="1"/>
      </rPr>
      <t xml:space="preserve">+</t>
    </r>
    <r>
      <rPr>
        <sz val="10"/>
        <color rgb="FF1B2430"/>
        <rFont val="Noto Sans CJK SC"/>
        <family val="2"/>
      </rPr>
      <t xml:space="preserve">추세 보정</t>
    </r>
  </si>
  <si>
    <t xml:space="preserve">AI-05</t>
  </si>
  <si>
    <t xml:space="preserve">건강 캘린더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</si>
  <si>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월간 캘린더에서 날짜별 상태를 볼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</si>
  <si>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/calendar</t>
  </si>
  <si>
    <t xml:space="preserve">AI-06</t>
  </si>
  <si>
    <t xml:space="preserve">건강 타임라인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</si>
  <si>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의미 있는 변화만 모아 볼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</si>
  <si>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/timeline</t>
  </si>
  <si>
    <t xml:space="preserve">AI-07</t>
  </si>
  <si>
    <t xml:space="preserve">건강 배지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</si>
  <si>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마일스톤을 배지로 받을 수 있다</t>
    </r>
    <r>
      <rPr>
        <sz val="10"/>
        <color rgb="FF1B2430"/>
        <rFont val="Arial"/>
        <family val="0"/>
        <charset val="1"/>
      </rPr>
      <t xml:space="preserve">.</t>
    </r>
  </si>
  <si>
    <r>
      <rPr>
        <sz val="10"/>
        <color rgb="FF1B2430"/>
        <rFont val="Arial"/>
        <family val="0"/>
        <charset val="1"/>
      </rPr>
      <t xml:space="preserve">GET /badges, badges </t>
    </r>
    <r>
      <rPr>
        <sz val="10"/>
        <color rgb="FF1B2430"/>
        <rFont val="Noto Sans CJK SC"/>
        <family val="2"/>
      </rPr>
      <t xml:space="preserve">테이블</t>
    </r>
  </si>
  <si>
    <t xml:space="preserve">조회 시점 지연 평가</t>
  </si>
  <si>
    <t xml:space="preserve">EXP-01</t>
  </si>
  <si>
    <t xml:space="preserve">CSV/JSON Export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</si>
  <si>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내 건강 기록을 </t>
    </r>
    <r>
      <rPr>
        <sz val="10"/>
        <color rgb="FF1B2430"/>
        <rFont val="Arial"/>
        <family val="0"/>
        <charset val="1"/>
      </rPr>
      <t xml:space="preserve">CSV/JSON</t>
    </r>
    <r>
      <rPr>
        <sz val="10"/>
        <color rgb="FF1B2430"/>
        <rFont val="Noto Sans CJK SC"/>
        <family val="2"/>
      </rPr>
      <t xml:space="preserve">으로 내려받을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</si>
  <si>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/export/csv, GET /export/json</t>
  </si>
  <si>
    <r>
      <rPr>
        <sz val="10"/>
        <color rgb="FF1B2430"/>
        <rFont val="Noto Sans CJK SC"/>
        <family val="2"/>
      </rPr>
      <t xml:space="preserve">수식 인젝션 방어 적용</t>
    </r>
    <r>
      <rPr>
        <sz val="10"/>
        <color rgb="FF1B2430"/>
        <rFont val="Arial"/>
        <family val="0"/>
        <charset val="1"/>
      </rPr>
      <t xml:space="preserve">(=+-@ </t>
    </r>
    <r>
      <rPr>
        <sz val="10"/>
        <color rgb="FF1B2430"/>
        <rFont val="Noto Sans CJK SC"/>
        <family val="2"/>
      </rPr>
      <t xml:space="preserve">시작 값 이스케이프</t>
    </r>
    <r>
      <rPr>
        <sz val="10"/>
        <color rgb="FF1B2430"/>
        <rFont val="Arial"/>
        <family val="0"/>
        <charset val="1"/>
      </rPr>
      <t xml:space="preserve">)</t>
    </r>
  </si>
  <si>
    <t xml:space="preserve">INT-01</t>
  </si>
  <si>
    <t xml:space="preserve">웨어러블 연동 상태 확인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</si>
  <si>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향후 연동 가능한 웨어러블 목록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상태를 확인할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</si>
  <si>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/integrations/status, .../wearable/mock</t>
  </si>
  <si>
    <r>
      <rPr>
        <sz val="10"/>
        <color rgb="FF1B2430"/>
        <rFont val="Noto Sans CJK SC"/>
        <family val="2"/>
      </rPr>
      <t xml:space="preserve">실제 기기 연동은 </t>
    </r>
    <r>
      <rPr>
        <sz val="10"/>
        <color rgb="FF1B2430"/>
        <rFont val="Arial"/>
        <family val="0"/>
        <charset val="1"/>
      </rPr>
      <t xml:space="preserve">Out of Scope(Mock)</t>
    </r>
  </si>
  <si>
    <t xml:space="preserve">INT-02</t>
  </si>
  <si>
    <r>
      <rPr>
        <sz val="10"/>
        <color rgb="FF1B2430"/>
        <rFont val="Arial"/>
        <family val="0"/>
        <charset val="1"/>
      </rPr>
      <t xml:space="preserve">CSV </t>
    </r>
    <r>
      <rPr>
        <sz val="10"/>
        <color rgb="FF1B2430"/>
        <rFont val="Noto Sans CJK SC"/>
        <family val="2"/>
      </rPr>
      <t xml:space="preserve">가져오기</t>
    </r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</si>
  <si>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외부 </t>
    </r>
    <r>
      <rPr>
        <sz val="10"/>
        <color rgb="FF1B2430"/>
        <rFont val="Arial"/>
        <family val="0"/>
        <charset val="1"/>
      </rPr>
      <t xml:space="preserve">CSV</t>
    </r>
    <r>
      <rPr>
        <sz val="10"/>
        <color rgb="FF1B2430"/>
        <rFont val="Noto Sans CJK SC"/>
        <family val="2"/>
      </rPr>
      <t xml:space="preserve">로 기록을 일괄 등록할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</si>
  <si>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POST /integrations/import/csv/preview, /commit</t>
  </si>
  <si>
    <r>
      <rPr>
        <sz val="10"/>
        <color rgb="FF1B2430"/>
        <rFont val="Noto Sans CJK SC"/>
        <family val="2"/>
      </rPr>
      <t xml:space="preserve">기존 검증 로직 재사용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실패 행 하나라도 있으면 전체 미저장</t>
    </r>
  </si>
  <si>
    <t xml:space="preserve">PUSH-01</t>
  </si>
  <si>
    <r>
      <rPr>
        <sz val="10"/>
        <color rgb="FF1B2430"/>
        <rFont val="Arial"/>
        <family val="0"/>
        <charset val="1"/>
      </rPr>
      <t xml:space="preserve">Web Push </t>
    </r>
    <r>
      <rPr>
        <sz val="10"/>
        <color rgb="FF1B2430"/>
        <rFont val="Noto Sans CJK SC"/>
        <family val="2"/>
      </rPr>
      <t xml:space="preserve">구독 관리</t>
    </r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</si>
  <si>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브라우저 알림을 켜고 끌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</si>
  <si>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/push/vapid-public-key, POST /push/subscribe, /unsubscribe</t>
  </si>
  <si>
    <r>
      <rPr>
        <sz val="10"/>
        <color rgb="FF1B2430"/>
        <rFont val="Noto Sans CJK SC"/>
        <family val="2"/>
      </rPr>
      <t xml:space="preserve">기기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브라우저별 다중 구독 지원</t>
    </r>
  </si>
  <si>
    <t xml:space="preserve">PUSH-02</t>
  </si>
  <si>
    <r>
      <rPr>
        <sz val="10"/>
        <color rgb="FF1B2430"/>
        <rFont val="Noto Sans CJK SC"/>
        <family val="2"/>
      </rPr>
      <t xml:space="preserve">리마인더 발송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관리자 트리거</t>
    </r>
    <r>
      <rPr>
        <sz val="10"/>
        <color rgb="FF1B2430"/>
        <rFont val="Arial"/>
        <family val="0"/>
        <charset val="1"/>
      </rPr>
      <t xml:space="preserve">)</t>
    </r>
  </si>
  <si>
    <r>
      <rPr>
        <sz val="10"/>
        <color rgb="FF1B2430"/>
        <rFont val="Noto Sans CJK SC"/>
        <family val="2"/>
      </rPr>
      <t xml:space="preserve">관리자로서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오늘 기록 안 한 구독자에게 리마인더를 보낼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</si>
  <si>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POST /push/send-reminder</t>
  </si>
  <si>
    <r>
      <rPr>
        <sz val="10"/>
        <color rgb="FF1B2430"/>
        <rFont val="Noto Sans CJK SC"/>
        <family val="2"/>
      </rPr>
      <t xml:space="preserve">배경 스케줄러 없음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방침</t>
    </r>
    <r>
      <rPr>
        <sz val="10"/>
        <color rgb="FF1B2430"/>
        <rFont val="Arial"/>
        <family val="0"/>
        <charset val="1"/>
      </rPr>
      <t xml:space="preserve">), </t>
    </r>
    <r>
      <rPr>
        <sz val="10"/>
        <color rgb="FF1B2430"/>
        <rFont val="Noto Sans CJK SC"/>
        <family val="2"/>
      </rPr>
      <t xml:space="preserve">만료 구독</t>
    </r>
    <r>
      <rPr>
        <sz val="10"/>
        <color rgb="FF1B2430"/>
        <rFont val="Arial"/>
        <family val="0"/>
        <charset val="1"/>
      </rPr>
      <t xml:space="preserve">(410) </t>
    </r>
    <r>
      <rPr>
        <sz val="10"/>
        <color rgb="FF1B2430"/>
        <rFont val="Noto Sans CJK SC"/>
        <family val="2"/>
      </rPr>
      <t xml:space="preserve">자동 정리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당일 중복발송 방지</t>
    </r>
  </si>
  <si>
    <t xml:space="preserve">ADM-01</t>
  </si>
  <si>
    <t xml:space="preserve">사용자 관리</t>
  </si>
  <si>
    <r>
      <rPr>
        <sz val="10"/>
        <color rgb="FF1B2430"/>
        <rFont val="Noto Sans CJK SC"/>
        <family val="2"/>
      </rPr>
      <t xml:space="preserve">관리자로서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전체 사용자를 검색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필터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정렬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페이지네이션으로 조회할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</si>
  <si>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/admin/users</t>
  </si>
  <si>
    <r>
      <rPr>
        <sz val="10"/>
        <color rgb="FF1B2430"/>
        <rFont val="Noto Sans CJK SC"/>
        <family val="2"/>
      </rPr>
      <t xml:space="preserve">아이디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이름 검색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권한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위험도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접속상태 필터</t>
    </r>
  </si>
  <si>
    <t xml:space="preserve">ADM-02</t>
  </si>
  <si>
    <r>
      <rPr>
        <sz val="10"/>
        <color rgb="FF1B2430"/>
        <rFont val="Noto Sans CJK SC"/>
        <family val="2"/>
      </rPr>
      <t xml:space="preserve">관리자 통계</t>
    </r>
    <r>
      <rPr>
        <sz val="10"/>
        <color rgb="FF1B2430"/>
        <rFont val="Arial"/>
        <family val="0"/>
        <charset val="1"/>
      </rPr>
      <t xml:space="preserve">/Analytics</t>
    </r>
  </si>
  <si>
    <r>
      <rPr>
        <sz val="10"/>
        <color rgb="FF1B2430"/>
        <rFont val="Noto Sans CJK SC"/>
        <family val="2"/>
      </rPr>
      <t xml:space="preserve">관리자로서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서비스 전반 지표와 코호트 리텐션을 볼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</si>
  <si>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/admin/stats</t>
  </si>
  <si>
    <r>
      <rPr>
        <sz val="10"/>
        <color rgb="FF1B2430"/>
        <rFont val="Noto Sans CJK SC"/>
        <family val="2"/>
      </rPr>
      <t xml:space="preserve">가입추이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활동률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유지율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전환율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코호트별 </t>
    </r>
    <r>
      <rPr>
        <sz val="10"/>
        <color rgb="FF1B2430"/>
        <rFont val="Arial"/>
        <family val="0"/>
        <charset val="1"/>
      </rPr>
      <t xml:space="preserve">N</t>
    </r>
    <r>
      <rPr>
        <sz val="10"/>
        <color rgb="FF1B2430"/>
        <rFont val="Noto Sans CJK SC"/>
        <family val="2"/>
      </rPr>
      <t xml:space="preserve">주차 리텐션</t>
    </r>
    <r>
      <rPr>
        <sz val="10"/>
        <color rgb="FF1B2430"/>
        <rFont val="Arial"/>
        <family val="0"/>
        <charset val="1"/>
      </rPr>
      <t xml:space="preserve">(cohort_retention)</t>
    </r>
  </si>
  <si>
    <t xml:space="preserve">ADM-03</t>
  </si>
  <si>
    <r>
      <rPr>
        <sz val="10"/>
        <color rgb="FF1B2430"/>
        <rFont val="Noto Sans CJK SC"/>
        <family val="2"/>
      </rPr>
      <t xml:space="preserve">사용자 상세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기록 조회</t>
    </r>
  </si>
  <si>
    <r>
      <rPr>
        <sz val="10"/>
        <color rgb="FF1B2430"/>
        <rFont val="Noto Sans CJK SC"/>
        <family val="2"/>
      </rPr>
      <t xml:space="preserve">관리자로서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계정 상세정보와 건강기록을 확인할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</si>
  <si>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/admin/users/{id}, .../records</t>
  </si>
  <si>
    <r>
      <rPr>
        <sz val="10"/>
        <color rgb="FF1B2430"/>
        <rFont val="Noto Sans CJK SC"/>
        <family val="2"/>
      </rPr>
      <t xml:space="preserve">민감정보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해시 등</t>
    </r>
    <r>
      <rPr>
        <sz val="10"/>
        <color rgb="FF1B2430"/>
        <rFont val="Arial"/>
        <family val="0"/>
        <charset val="1"/>
      </rPr>
      <t xml:space="preserve">)</t>
    </r>
    <r>
      <rPr>
        <sz val="10"/>
        <color rgb="FF1B2430"/>
        <rFont val="Noto Sans CJK SC"/>
        <family val="2"/>
      </rPr>
      <t xml:space="preserve">는 응답에 미포함</t>
    </r>
  </si>
  <si>
    <t xml:space="preserve">ADM-04</t>
  </si>
  <si>
    <r>
      <rPr>
        <sz val="10"/>
        <color rgb="FF1B2430"/>
        <rFont val="Noto Sans CJK SC"/>
        <family val="2"/>
      </rPr>
      <t xml:space="preserve">계정 삭제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강제 로그아웃</t>
    </r>
  </si>
  <si>
    <r>
      <rPr>
        <sz val="10"/>
        <color rgb="FF1B2430"/>
        <rFont val="Noto Sans CJK SC"/>
        <family val="2"/>
      </rPr>
      <t xml:space="preserve">관리자로서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문제 계정을 삭제하거나 세션만 끊을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</si>
  <si>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DELETE /admin/users/{id}, .../force-logout</t>
  </si>
  <si>
    <r>
      <rPr>
        <sz val="10"/>
        <color rgb="FF1B2430"/>
        <rFont val="Noto Sans CJK SC"/>
        <family val="2"/>
      </rPr>
      <t xml:space="preserve">자기 자신 대상 조치는 </t>
    </r>
    <r>
      <rPr>
        <sz val="10"/>
        <color rgb="FF1B2430"/>
        <rFont val="Arial"/>
        <family val="0"/>
        <charset val="1"/>
      </rPr>
      <t xml:space="preserve">400 </t>
    </r>
    <r>
      <rPr>
        <sz val="10"/>
        <color rgb="FF1B2430"/>
        <rFont val="Noto Sans CJK SC"/>
        <family val="2"/>
      </rPr>
      <t xml:space="preserve">차단</t>
    </r>
  </si>
  <si>
    <t xml:space="preserve">ADM-05</t>
  </si>
  <si>
    <t xml:space="preserve">감사 로그</t>
  </si>
  <si>
    <r>
      <rPr>
        <sz val="10"/>
        <color rgb="FF1B2430"/>
        <rFont val="Noto Sans CJK SC"/>
        <family val="2"/>
      </rPr>
      <t xml:space="preserve">관리자로서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다른 관리자의 조치 이력을 조회할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</si>
  <si>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GET /admin/audit-log</t>
  </si>
  <si>
    <r>
      <rPr>
        <sz val="10"/>
        <color rgb="FF1B2430"/>
        <rFont val="Noto Sans CJK SC"/>
        <family val="2"/>
      </rPr>
      <t xml:space="preserve">계정삭제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강제로그아웃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비밀번호재설정 기록</t>
    </r>
  </si>
  <si>
    <t xml:space="preserve">ADM-06</t>
  </si>
  <si>
    <r>
      <rPr>
        <sz val="10"/>
        <color rgb="FF1B2430"/>
        <rFont val="Noto Sans CJK SC"/>
        <family val="2"/>
      </rPr>
      <t xml:space="preserve">위험도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접속 지표</t>
    </r>
  </si>
  <si>
    <r>
      <rPr>
        <sz val="10"/>
        <color rgb="FF1B2430"/>
        <rFont val="Noto Sans CJK SC"/>
        <family val="2"/>
      </rPr>
      <t xml:space="preserve">관리자로서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사용자별 위험도와 현재 접속 여부를 볼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</si>
  <si>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AdminUserOut.risk_level/is_online</t>
  </si>
  <si>
    <r>
      <rPr>
        <sz val="10"/>
        <color rgb="FF1B2430"/>
        <rFont val="Noto Sans CJK SC"/>
        <family val="2"/>
      </rPr>
      <t xml:space="preserve">접속 여부는 세션 만료시간 기반 근사치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실시간 아님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화면에 명시</t>
    </r>
    <r>
      <rPr>
        <sz val="10"/>
        <color rgb="FF1B2430"/>
        <rFont val="Arial"/>
        <family val="0"/>
        <charset val="1"/>
      </rPr>
      <t xml:space="preserve">)</t>
    </r>
  </si>
  <si>
    <t xml:space="preserve">ADM-07</t>
  </si>
  <si>
    <r>
      <rPr>
        <sz val="10"/>
        <color rgb="FF1B2430"/>
        <rFont val="Arial"/>
        <family val="0"/>
        <charset val="1"/>
      </rPr>
      <t xml:space="preserve">KPI </t>
    </r>
    <r>
      <rPr>
        <sz val="10"/>
        <color rgb="FF1B2430"/>
        <rFont val="Noto Sans CJK SC"/>
        <family val="2"/>
      </rPr>
      <t xml:space="preserve">드릴다운</t>
    </r>
  </si>
  <si>
    <r>
      <rPr>
        <sz val="10"/>
        <color rgb="FF1B2430"/>
        <rFont val="Noto Sans CJK SC"/>
        <family val="2"/>
      </rPr>
      <t xml:space="preserve">관리자로서</t>
    </r>
    <r>
      <rPr>
        <sz val="10"/>
        <color rgb="FF1B2430"/>
        <rFont val="Arial"/>
        <family val="0"/>
        <charset val="1"/>
      </rPr>
      <t xml:space="preserve">, KPI </t>
    </r>
    <r>
      <rPr>
        <sz val="10"/>
        <color rgb="FF1B2430"/>
        <rFont val="Noto Sans CJK SC"/>
        <family val="2"/>
      </rPr>
      <t xml:space="preserve">카드를 클릭해 근거 사용자 목록으로 이동할 수 있다</t>
    </r>
    <r>
      <rPr>
        <sz val="10"/>
        <color rgb="FF1B2430"/>
        <rFont val="Arial"/>
        <family val="0"/>
        <charset val="1"/>
      </rPr>
      <t xml:space="preserve">.</t>
    </r>
  </si>
  <si>
    <r>
      <rPr>
        <sz val="10"/>
        <color rgb="FF1B2430"/>
        <rFont val="Arial"/>
        <family val="0"/>
        <charset val="1"/>
      </rPr>
      <t xml:space="preserve">admin.html + /admin/users </t>
    </r>
    <r>
      <rPr>
        <sz val="10"/>
        <color rgb="FF1B2430"/>
        <rFont val="Noto Sans CJK SC"/>
        <family val="2"/>
      </rPr>
      <t xml:space="preserve">필터 파라미터</t>
    </r>
  </si>
  <si>
    <t xml:space="preserve">가입추이 차트 막대 클릭도 동일하게 동작</t>
  </si>
  <si>
    <t xml:space="preserve">ADM-08</t>
  </si>
  <si>
    <t xml:space="preserve">코호트 리텐션 히트맵</t>
  </si>
  <si>
    <r>
      <rPr>
        <sz val="10"/>
        <color rgb="FF1B2430"/>
        <rFont val="Noto Sans CJK SC"/>
        <family val="2"/>
      </rPr>
      <t xml:space="preserve">관리자로서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가입 주차별 </t>
    </r>
    <r>
      <rPr>
        <sz val="10"/>
        <color rgb="FF1B2430"/>
        <rFont val="Arial"/>
        <family val="0"/>
        <charset val="1"/>
      </rPr>
      <t xml:space="preserve">N</t>
    </r>
    <r>
      <rPr>
        <sz val="10"/>
        <color rgb="FF1B2430"/>
        <rFont val="Noto Sans CJK SC"/>
        <family val="2"/>
      </rPr>
      <t xml:space="preserve">주차 활동 비율을 시각적으로 볼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</si>
  <si>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admin.html, admin_analytics.py</t>
  </si>
  <si>
    <t xml:space="preserve">FE-01</t>
  </si>
  <si>
    <t xml:space="preserve">유저 대시보드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</si>
  <si>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사이드바로 기록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통계</t>
    </r>
    <r>
      <rPr>
        <sz val="10"/>
        <color rgb="FF1B2430"/>
        <rFont val="Arial"/>
        <family val="0"/>
        <charset val="1"/>
      </rPr>
      <t xml:space="preserve">&amp;</t>
    </r>
    <r>
      <rPr>
        <sz val="10"/>
        <color rgb="FF1B2430"/>
        <rFont val="Noto Sans CJK SC"/>
        <family val="2"/>
      </rPr>
      <t xml:space="preserve">리포트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목표 화면을 오갈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</si>
  <si>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index.html</t>
  </si>
  <si>
    <t xml:space="preserve">FE-02</t>
  </si>
  <si>
    <t xml:space="preserve">관리자 대시보드</t>
  </si>
  <si>
    <r>
      <rPr>
        <sz val="10"/>
        <color rgb="FF1B2430"/>
        <rFont val="Noto Sans CJK SC"/>
        <family val="2"/>
      </rPr>
      <t xml:space="preserve">관리자로서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유저 화면과 완전히 분리된 독립 화면에서 로그인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작업한다</t>
    </r>
    <r>
      <rPr>
        <sz val="10"/>
        <color rgb="FF1B2430"/>
        <rFont val="Arial"/>
        <family val="0"/>
        <charset val="1"/>
      </rPr>
      <t xml:space="preserve">.</t>
    </r>
  </si>
  <si>
    <t xml:space="preserve">admin.html</t>
  </si>
  <si>
    <r>
      <rPr>
        <sz val="10"/>
        <color rgb="FF1B2430"/>
        <rFont val="Noto Sans CJK SC"/>
        <family val="2"/>
      </rPr>
      <t xml:space="preserve">서로 링크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리다이렉트 없음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의도적 분리</t>
    </r>
    <r>
      <rPr>
        <sz val="10"/>
        <color rgb="FF1B2430"/>
        <rFont val="Arial"/>
        <family val="0"/>
        <charset val="1"/>
      </rPr>
      <t xml:space="preserve">)</t>
    </r>
  </si>
  <si>
    <t xml:space="preserve">FE-03</t>
  </si>
  <si>
    <r>
      <rPr>
        <sz val="10"/>
        <color rgb="FF1B2430"/>
        <rFont val="Noto Sans CJK SC"/>
        <family val="2"/>
      </rPr>
      <t xml:space="preserve">다크모드 </t>
    </r>
    <r>
      <rPr>
        <sz val="10"/>
        <color rgb="FF1B2430"/>
        <rFont val="Arial"/>
        <family val="0"/>
        <charset val="1"/>
      </rPr>
      <t xml:space="preserve">· </t>
    </r>
    <r>
      <rPr>
        <sz val="10"/>
        <color rgb="FF1B2430"/>
        <rFont val="Noto Sans CJK SC"/>
        <family val="2"/>
      </rPr>
      <t xml:space="preserve">반응형</t>
    </r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</si>
  <si>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3</t>
    </r>
    <r>
      <rPr>
        <sz val="10"/>
        <color rgb="FF1B2430"/>
        <rFont val="Noto Sans CJK SC"/>
        <family val="2"/>
      </rPr>
      <t xml:space="preserve">단 테마와 데스크톱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태블릿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모바일 반응형을 쓸 수 있다</t>
    </r>
    <r>
      <rPr>
        <sz val="10"/>
        <color rgb="FF1B2430"/>
        <rFont val="Arial"/>
        <family val="0"/>
        <charset val="1"/>
      </rPr>
      <t xml:space="preserve">.</t>
    </r>
  </si>
  <si>
    <t xml:space="preserve">theme.css</t>
  </si>
  <si>
    <t xml:space="preserve">FE-04</t>
  </si>
  <si>
    <t xml:space="preserve">데이터 시각화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</si>
  <si>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측정 추이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주간 변화를 차트로 볼 수 있다</t>
    </r>
    <r>
      <rPr>
        <sz val="10"/>
        <color rgb="FF1B2430"/>
        <rFont val="Arial"/>
        <family val="0"/>
        <charset val="1"/>
      </rPr>
      <t xml:space="preserve">.</t>
    </r>
  </si>
  <si>
    <r>
      <rPr>
        <sz val="10"/>
        <color rgb="FF1B2430"/>
        <rFont val="Noto Sans CJK SC"/>
        <family val="2"/>
      </rPr>
      <t xml:space="preserve">커스텀 </t>
    </r>
    <r>
      <rPr>
        <sz val="10"/>
        <color rgb="FF1B2430"/>
        <rFont val="Arial"/>
        <family val="0"/>
        <charset val="1"/>
      </rPr>
      <t xml:space="preserve">SVG </t>
    </r>
    <r>
      <rPr>
        <sz val="10"/>
        <color rgb="FF1B2430"/>
        <rFont val="Noto Sans CJK SC"/>
        <family val="2"/>
      </rPr>
      <t xml:space="preserve">차트</t>
    </r>
  </si>
  <si>
    <r>
      <rPr>
        <sz val="10"/>
        <color rgb="FF1B2430"/>
        <rFont val="Noto Sans CJK SC"/>
        <family val="2"/>
      </rPr>
      <t xml:space="preserve">라이브러리 미사용</t>
    </r>
    <r>
      <rPr>
        <sz val="10"/>
        <color rgb="FF1B2430"/>
        <rFont val="Arial"/>
        <family val="0"/>
        <charset val="1"/>
      </rPr>
      <t xml:space="preserve">, textContent </t>
    </r>
    <r>
      <rPr>
        <sz val="10"/>
        <color rgb="FF1B2430"/>
        <rFont val="Noto Sans CJK SC"/>
        <family val="2"/>
      </rPr>
      <t xml:space="preserve">렌더링</t>
    </r>
  </si>
  <si>
    <t xml:space="preserve">FE-05</t>
  </si>
  <si>
    <t xml:space="preserve">공통 모듈화</t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</si>
  <si>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색상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간격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타이포 토큰과 공통 </t>
    </r>
    <r>
      <rPr>
        <sz val="10"/>
        <color rgb="FF1B2430"/>
        <rFont val="Arial"/>
        <family val="0"/>
        <charset val="1"/>
      </rPr>
      <t xml:space="preserve">JS</t>
    </r>
    <r>
      <rPr>
        <sz val="10"/>
        <color rgb="FF1B2430"/>
        <rFont val="Noto Sans CJK SC"/>
        <family val="2"/>
      </rPr>
      <t xml:space="preserve">를 두 화면이 공유해야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</si>
  <si>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theme.css, shared.js</t>
  </si>
  <si>
    <r>
      <rPr>
        <sz val="10"/>
        <color rgb="FF1B2430"/>
        <rFont val="Arial"/>
        <family val="0"/>
        <charset val="1"/>
      </rPr>
      <t xml:space="preserve">apiGet/apiSend/toast/escapeHtml </t>
    </r>
    <r>
      <rPr>
        <sz val="10"/>
        <color rgb="FF1B2430"/>
        <rFont val="Noto Sans CJK SC"/>
        <family val="2"/>
      </rPr>
      <t xml:space="preserve">등 공통화</t>
    </r>
  </si>
  <si>
    <t xml:space="preserve">FE-06</t>
  </si>
  <si>
    <t xml:space="preserve">접근성 기초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</si>
  <si>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스크린리더로도 폼과 모달을 이용할 수 있어야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</si>
  <si>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index.html/admin.html</t>
  </si>
  <si>
    <r>
      <rPr>
        <sz val="10"/>
        <color rgb="FF1B2430"/>
        <rFont val="Noto Sans CJK SC"/>
        <family val="2"/>
      </rPr>
      <t xml:space="preserve">폼 </t>
    </r>
    <r>
      <rPr>
        <sz val="10"/>
        <color rgb="FF1B2430"/>
        <rFont val="Arial"/>
        <family val="0"/>
        <charset val="1"/>
      </rPr>
      <t xml:space="preserve">label </t>
    </r>
    <r>
      <rPr>
        <sz val="10"/>
        <color rgb="FF1B2430"/>
        <rFont val="Noto Sans CJK SC"/>
        <family val="2"/>
      </rPr>
      <t xml:space="preserve">연결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모달 </t>
    </r>
    <r>
      <rPr>
        <sz val="10"/>
        <color rgb="FF1B2430"/>
        <rFont val="Arial"/>
        <family val="0"/>
        <charset val="1"/>
      </rPr>
      <t xml:space="preserve">dialog </t>
    </r>
    <r>
      <rPr>
        <sz val="10"/>
        <color rgb="FF1B2430"/>
        <rFont val="Noto Sans CJK SC"/>
        <family val="2"/>
      </rPr>
      <t xml:space="preserve">시맨틱</t>
    </r>
    <r>
      <rPr>
        <sz val="10"/>
        <color rgb="FF1B2430"/>
        <rFont val="Arial"/>
        <family val="0"/>
        <charset val="1"/>
      </rPr>
      <t xml:space="preserve">, Esc </t>
    </r>
    <r>
      <rPr>
        <sz val="10"/>
        <color rgb="FF1B2430"/>
        <rFont val="Noto Sans CJK SC"/>
        <family val="2"/>
      </rPr>
      <t xml:space="preserve">닫기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아이콘 버튼 </t>
    </r>
    <r>
      <rPr>
        <sz val="10"/>
        <color rgb="FF1B2430"/>
        <rFont val="Arial"/>
        <family val="0"/>
        <charset val="1"/>
      </rPr>
      <t xml:space="preserve">aria-label</t>
    </r>
  </si>
  <si>
    <t xml:space="preserve">FE-07</t>
  </si>
  <si>
    <t xml:space="preserve">온보딩 배너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</si>
  <si>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가입 직후 무엇을 하면 되는지 안내받는다</t>
    </r>
    <r>
      <rPr>
        <sz val="10"/>
        <color rgb="FF1B2430"/>
        <rFont val="Arial"/>
        <family val="0"/>
        <charset val="1"/>
      </rPr>
      <t xml:space="preserve">.</t>
    </r>
  </si>
  <si>
    <t xml:space="preserve">예시 값 채우기 버튼 포함</t>
  </si>
  <si>
    <t xml:space="preserve">FE-08</t>
  </si>
  <si>
    <t xml:space="preserve">마감 디테일</t>
  </si>
  <si>
    <r>
      <rPr>
        <sz val="10"/>
        <color rgb="FF1B2430"/>
        <rFont val="Noto Sans CJK SC"/>
        <family val="2"/>
      </rPr>
      <t xml:space="preserve">사용자로서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탭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공유 시 서비스 정체성을 인식할 수 있다</t>
    </r>
    <r>
      <rPr>
        <sz val="10"/>
        <color rgb="FF1B2430"/>
        <rFont val="Arial"/>
        <family val="0"/>
        <charset val="1"/>
      </rPr>
      <t xml:space="preserve">.</t>
    </r>
  </si>
  <si>
    <r>
      <rPr>
        <sz val="10"/>
        <color rgb="FF1B2430"/>
        <rFont val="Noto Sans CJK SC"/>
        <family val="2"/>
      </rPr>
      <t xml:space="preserve">파비콘</t>
    </r>
    <r>
      <rPr>
        <sz val="10"/>
        <color rgb="FF1B2430"/>
        <rFont val="Arial"/>
        <family val="0"/>
        <charset val="1"/>
      </rPr>
      <t xml:space="preserve">, meta description, OG </t>
    </r>
    <r>
      <rPr>
        <sz val="10"/>
        <color rgb="FF1B2430"/>
        <rFont val="Noto Sans CJK SC"/>
        <family val="2"/>
      </rPr>
      <t xml:space="preserve">태그</t>
    </r>
  </si>
  <si>
    <t xml:space="preserve">SEC-01</t>
  </si>
  <si>
    <r>
      <rPr>
        <sz val="10"/>
        <color rgb="FF1B2430"/>
        <rFont val="Arial"/>
        <family val="0"/>
        <charset val="1"/>
      </rPr>
      <t xml:space="preserve">CSV </t>
    </r>
    <r>
      <rPr>
        <sz val="10"/>
        <color rgb="FF1B2430"/>
        <rFont val="Noto Sans CJK SC"/>
        <family val="2"/>
      </rPr>
      <t xml:space="preserve">수식 인젝션 방어</t>
    </r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</si>
  <si>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Export </t>
    </r>
    <r>
      <rPr>
        <sz val="10"/>
        <color rgb="FF1B2430"/>
        <rFont val="Noto Sans CJK SC"/>
        <family val="2"/>
      </rPr>
      <t xml:space="preserve">셀 값이 수식으로 해석되지 않아야 한다</t>
    </r>
    <r>
      <rPr>
        <sz val="10"/>
        <color rgb="FF1B2430"/>
        <rFont val="Arial"/>
        <family val="0"/>
        <charset val="1"/>
      </rPr>
      <t xml:space="preserve">.</t>
    </r>
  </si>
  <si>
    <r>
      <rPr>
        <sz val="10"/>
        <color rgb="FF1B2430"/>
        <rFont val="Arial"/>
        <family val="0"/>
        <charset val="1"/>
      </rPr>
      <t xml:space="preserve">export </t>
    </r>
    <r>
      <rPr>
        <sz val="10"/>
        <color rgb="FF1B2430"/>
        <rFont val="Noto Sans CJK SC"/>
        <family val="2"/>
      </rPr>
      <t xml:space="preserve">로직</t>
    </r>
  </si>
  <si>
    <r>
      <rPr>
        <sz val="10"/>
        <color rgb="FF1B2430"/>
        <rFont val="Arial"/>
        <family val="0"/>
        <charset val="1"/>
      </rPr>
      <t xml:space="preserve">'=','+','-','@' </t>
    </r>
    <r>
      <rPr>
        <sz val="10"/>
        <color rgb="FF1B2430"/>
        <rFont val="Noto Sans CJK SC"/>
        <family val="2"/>
      </rPr>
      <t xml:space="preserve">시작 값 이스케이프</t>
    </r>
  </si>
  <si>
    <t xml:space="preserve">SEC-02</t>
  </si>
  <si>
    <t xml:space="preserve">세션 만료 정리</t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</si>
  <si>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만료된 세션을 정리해야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</si>
  <si>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지연 평가 방식</t>
  </si>
  <si>
    <t xml:space="preserve">SEC-03</t>
  </si>
  <si>
    <r>
      <rPr>
        <sz val="10"/>
        <color rgb="FF1B2430"/>
        <rFont val="Arial"/>
        <family val="0"/>
        <charset val="1"/>
      </rPr>
      <t xml:space="preserve">CORS/</t>
    </r>
    <r>
      <rPr>
        <sz val="10"/>
        <color rgb="FF1B2430"/>
        <rFont val="Noto Sans CJK SC"/>
        <family val="2"/>
      </rPr>
      <t xml:space="preserve">보안 헤더</t>
    </r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</si>
  <si>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동일 출처 제한과 기본 보안 헤더를 적용해야 한다</t>
    </r>
    <r>
      <rPr>
        <sz val="10"/>
        <color rgb="FF1B2430"/>
        <rFont val="Arial"/>
        <family val="0"/>
        <charset val="1"/>
      </rPr>
      <t xml:space="preserve">.</t>
    </r>
  </si>
  <si>
    <r>
      <rPr>
        <sz val="10"/>
        <color rgb="FF1B2430"/>
        <rFont val="Arial"/>
        <family val="0"/>
        <charset val="1"/>
      </rPr>
      <t xml:space="preserve">main.py </t>
    </r>
    <r>
      <rPr>
        <sz val="10"/>
        <color rgb="FF1B2430"/>
        <rFont val="Noto Sans CJK SC"/>
        <family val="2"/>
      </rPr>
      <t xml:space="preserve">미들웨어</t>
    </r>
  </si>
  <si>
    <t xml:space="preserve">X-Content-Type-Options, X-Frame-Options, Referrer-Policy</t>
  </si>
  <si>
    <t xml:space="preserve">SEC-04</t>
  </si>
  <si>
    <r>
      <rPr>
        <sz val="10"/>
        <color rgb="FF1B2430"/>
        <rFont val="Arial"/>
        <family val="0"/>
        <charset val="1"/>
      </rPr>
      <t xml:space="preserve">XSS </t>
    </r>
    <r>
      <rPr>
        <sz val="10"/>
        <color rgb="FF1B2430"/>
        <rFont val="Noto Sans CJK SC"/>
        <family val="2"/>
      </rPr>
      <t xml:space="preserve">전수조사</t>
    </r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</si>
  <si>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사용자 입력 렌더링 지점에 이스케이프 없는 </t>
    </r>
    <r>
      <rPr>
        <sz val="10"/>
        <color rgb="FF1B2430"/>
        <rFont val="Arial"/>
        <family val="0"/>
        <charset val="1"/>
      </rPr>
      <t xml:space="preserve">XSS </t>
    </r>
    <r>
      <rPr>
        <sz val="10"/>
        <color rgb="FF1B2430"/>
        <rFont val="Noto Sans CJK SC"/>
        <family val="2"/>
      </rPr>
      <t xml:space="preserve">취약점이 없어야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</si>
  <si>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escapeHtml (shared.js)</t>
  </si>
  <si>
    <r>
      <rPr>
        <sz val="10"/>
        <color rgb="FF1B2430"/>
        <rFont val="Noto Sans CJK SC"/>
        <family val="2"/>
      </rPr>
      <t xml:space="preserve">전수조사 결과 취약점 없음 확인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공통 이스케이프 헬퍼로 통일</t>
    </r>
  </si>
  <si>
    <t xml:space="preserve">SEC-05</t>
  </si>
  <si>
    <t xml:space="preserve">시크릿 관리</t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</si>
  <si>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API </t>
    </r>
    <r>
      <rPr>
        <sz val="10"/>
        <color rgb="FF1B2430"/>
        <rFont val="Noto Sans CJK SC"/>
        <family val="2"/>
      </rPr>
      <t xml:space="preserve">키 등 시크릿이 이미지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저장소에 노출되지 않아야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</si>
  <si>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.dockerignore, .env.example</t>
  </si>
  <si>
    <r>
      <rPr>
        <sz val="10"/>
        <color rgb="FF1B2430"/>
        <rFont val="Noto Sans CJK SC"/>
        <family val="2"/>
      </rPr>
      <t xml:space="preserve">배포 중 발견된 </t>
    </r>
    <r>
      <rPr>
        <sz val="10"/>
        <color rgb="FF1B2430"/>
        <rFont val="Arial"/>
        <family val="0"/>
        <charset val="1"/>
      </rPr>
      <t xml:space="preserve">nested-path </t>
    </r>
    <r>
      <rPr>
        <sz val="10"/>
        <color rgb="FF1B2430"/>
        <rFont val="Noto Sans CJK SC"/>
        <family val="2"/>
      </rPr>
      <t xml:space="preserve">미스매치 버그 수정</t>
    </r>
    <r>
      <rPr>
        <sz val="10"/>
        <color rgb="FF1B2430"/>
        <rFont val="Arial"/>
        <family val="0"/>
        <charset val="1"/>
      </rPr>
      <t xml:space="preserve">(**/.env </t>
    </r>
    <r>
      <rPr>
        <sz val="10"/>
        <color rgb="FF1B2430"/>
        <rFont val="Noto Sans CJK SC"/>
        <family val="2"/>
      </rPr>
      <t xml:space="preserve">등 이중패턴</t>
    </r>
    <r>
      <rPr>
        <sz val="10"/>
        <color rgb="FF1B2430"/>
        <rFont val="Arial"/>
        <family val="0"/>
        <charset val="1"/>
      </rPr>
      <t xml:space="preserve">)</t>
    </r>
  </si>
  <si>
    <t xml:space="preserve">INFRA-01</t>
  </si>
  <si>
    <r>
      <rPr>
        <sz val="10"/>
        <color rgb="FF1B2430"/>
        <rFont val="Arial"/>
        <family val="0"/>
        <charset val="1"/>
      </rPr>
      <t xml:space="preserve">DB </t>
    </r>
    <r>
      <rPr>
        <sz val="10"/>
        <color rgb="FF1B2430"/>
        <rFont val="Noto Sans CJK SC"/>
        <family val="2"/>
      </rPr>
      <t xml:space="preserve">마이그레이션</t>
    </r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</si>
  <si>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스키마 변경을 </t>
    </r>
    <r>
      <rPr>
        <sz val="10"/>
        <color rgb="FF1B2430"/>
        <rFont val="Arial"/>
        <family val="0"/>
        <charset val="1"/>
      </rPr>
      <t xml:space="preserve">DB </t>
    </r>
    <r>
      <rPr>
        <sz val="10"/>
        <color rgb="FF1B2430"/>
        <rFont val="Noto Sans CJK SC"/>
        <family val="2"/>
      </rPr>
      <t xml:space="preserve">재생성 없이 관리해야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</si>
  <si>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Alembic</t>
  </si>
  <si>
    <r>
      <rPr>
        <sz val="10"/>
        <color rgb="FF1B2430"/>
        <rFont val="Arial"/>
        <family val="0"/>
        <charset val="1"/>
      </rPr>
      <t xml:space="preserve">4</t>
    </r>
    <r>
      <rPr>
        <sz val="10"/>
        <color rgb="FF1B2430"/>
        <rFont val="Noto Sans CJK SC"/>
        <family val="2"/>
      </rPr>
      <t xml:space="preserve">개 마이그레이션 적용 이력</t>
    </r>
  </si>
  <si>
    <t xml:space="preserve">INFRA-02</t>
  </si>
  <si>
    <t xml:space="preserve">자동화 테스트</t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</si>
  <si>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핵심 시나리오가 자동 테스트로 검증돼야 한다</t>
    </r>
    <r>
      <rPr>
        <sz val="10"/>
        <color rgb="FF1B2430"/>
        <rFont val="Arial"/>
        <family val="0"/>
        <charset val="1"/>
      </rPr>
      <t xml:space="preserve">.</t>
    </r>
  </si>
  <si>
    <r>
      <rPr>
        <sz val="10"/>
        <color rgb="FF1B2430"/>
        <rFont val="Arial"/>
        <family val="0"/>
        <charset val="1"/>
      </rPr>
      <t xml:space="preserve">pytest (52</t>
    </r>
    <r>
      <rPr>
        <sz val="10"/>
        <color rgb="FF1B2430"/>
        <rFont val="Noto Sans CJK SC"/>
        <family val="2"/>
      </rPr>
      <t xml:space="preserve">개</t>
    </r>
    <r>
      <rPr>
        <sz val="10"/>
        <color rgb="FF1B2430"/>
        <rFont val="Arial"/>
        <family val="0"/>
        <charset val="1"/>
      </rPr>
      <t xml:space="preserve">)</t>
    </r>
  </si>
  <si>
    <r>
      <rPr>
        <sz val="10"/>
        <color rgb="FF1B2430"/>
        <rFont val="Noto Sans CJK SC"/>
        <family val="2"/>
      </rPr>
      <t xml:space="preserve">인증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기록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계정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관리자</t>
    </r>
    <r>
      <rPr>
        <sz val="10"/>
        <color rgb="FF1B2430"/>
        <rFont val="Arial"/>
        <family val="0"/>
        <charset val="1"/>
      </rPr>
      <t xml:space="preserve">/AI</t>
    </r>
    <r>
      <rPr>
        <sz val="10"/>
        <color rgb="FF1B2430"/>
        <rFont val="Noto Sans CJK SC"/>
        <family val="2"/>
      </rPr>
      <t xml:space="preserve">코치</t>
    </r>
    <r>
      <rPr>
        <sz val="10"/>
        <color rgb="FF1B2430"/>
        <rFont val="Arial"/>
        <family val="0"/>
        <charset val="1"/>
      </rPr>
      <t xml:space="preserve">/Export-Import/</t>
    </r>
    <r>
      <rPr>
        <sz val="10"/>
        <color rgb="FF1B2430"/>
        <rFont val="Noto Sans CJK SC"/>
        <family val="2"/>
      </rPr>
      <t xml:space="preserve">목표</t>
    </r>
    <r>
      <rPr>
        <sz val="10"/>
        <color rgb="FF1B2430"/>
        <rFont val="Arial"/>
        <family val="0"/>
        <charset val="1"/>
      </rPr>
      <t xml:space="preserve">-</t>
    </r>
    <r>
      <rPr>
        <sz val="10"/>
        <color rgb="FF1B2430"/>
        <rFont val="Noto Sans CJK SC"/>
        <family val="2"/>
      </rPr>
      <t xml:space="preserve">리포트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비밀번호복구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푸시</t>
    </r>
  </si>
  <si>
    <t xml:space="preserve">INFRA-03</t>
  </si>
  <si>
    <t xml:space="preserve">CI</t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</si>
  <si>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push/PR</t>
    </r>
    <r>
      <rPr>
        <sz val="10"/>
        <color rgb="FF1B2430"/>
        <rFont val="Noto Sans CJK SC"/>
        <family val="2"/>
      </rPr>
      <t xml:space="preserve">마다 테스트가 자동 실행돼야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</si>
  <si>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GitHub Actions</t>
  </si>
  <si>
    <t xml:space="preserve">INFRA-04</t>
  </si>
  <si>
    <t xml:space="preserve">컨테이너화 및 배포</t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</si>
  <si>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Docker</t>
    </r>
    <r>
      <rPr>
        <sz val="10"/>
        <color rgb="FF1B2430"/>
        <rFont val="Noto Sans CJK SC"/>
        <family val="2"/>
      </rPr>
      <t xml:space="preserve">로 빌드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실행되고 실서버에 </t>
    </r>
    <r>
      <rPr>
        <sz val="10"/>
        <color rgb="FF1B2430"/>
        <rFont val="Arial"/>
        <family val="0"/>
        <charset val="1"/>
      </rPr>
      <t xml:space="preserve">HTTPS</t>
    </r>
    <r>
      <rPr>
        <sz val="10"/>
        <color rgb="FF1B2430"/>
        <rFont val="Noto Sans CJK SC"/>
        <family val="2"/>
      </rPr>
      <t xml:space="preserve">로 서비스돼야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</si>
  <si>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Dockerfile, AWS Lightsail</t>
  </si>
  <si>
    <r>
      <rPr>
        <sz val="10"/>
        <color rgb="FF1B2430"/>
        <rFont val="Arial"/>
        <family val="0"/>
        <charset val="1"/>
      </rPr>
      <t xml:space="preserve">nginx+certbot, COOKIE_SECURE=true </t>
    </r>
    <r>
      <rPr>
        <sz val="10"/>
        <color rgb="FF1B2430"/>
        <rFont val="Noto Sans CJK SC"/>
        <family val="2"/>
      </rPr>
      <t xml:space="preserve">적용</t>
    </r>
  </si>
  <si>
    <t xml:space="preserve">INFRA-05</t>
  </si>
  <si>
    <r>
      <rPr>
        <sz val="10"/>
        <color rgb="FF1B2430"/>
        <rFont val="Arial"/>
        <family val="0"/>
        <charset val="1"/>
      </rPr>
      <t xml:space="preserve">DB </t>
    </r>
    <r>
      <rPr>
        <sz val="10"/>
        <color rgb="FF1B2430"/>
        <rFont val="Noto Sans CJK SC"/>
        <family val="2"/>
      </rPr>
      <t xml:space="preserve">백업</t>
    </r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</si>
  <si>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DB </t>
    </r>
    <r>
      <rPr>
        <sz val="10"/>
        <color rgb="FF1B2430"/>
        <rFont val="Noto Sans CJK SC"/>
        <family val="2"/>
      </rPr>
      <t xml:space="preserve">파일을 정기적으로 안전하게 백업할 수 있어야 한다</t>
    </r>
    <r>
      <rPr>
        <sz val="10"/>
        <color rgb="FF1B2430"/>
        <rFont val="Arial"/>
        <family val="0"/>
        <charset val="1"/>
      </rPr>
      <t xml:space="preserve">.</t>
    </r>
  </si>
  <si>
    <t xml:space="preserve">backup_db.py</t>
  </si>
  <si>
    <r>
      <rPr>
        <sz val="10"/>
        <color rgb="FF1B2430"/>
        <rFont val="Noto Sans CJK SC"/>
        <family val="2"/>
      </rPr>
      <t xml:space="preserve">로컬 스크립트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타임스탬프</t>
    </r>
    <r>
      <rPr>
        <sz val="10"/>
        <color rgb="FF1B2430"/>
        <rFont val="Arial"/>
        <family val="0"/>
        <charset val="1"/>
      </rPr>
      <t xml:space="preserve">+</t>
    </r>
    <r>
      <rPr>
        <sz val="10"/>
        <color rgb="FF1B2430"/>
        <rFont val="Noto Sans CJK SC"/>
        <family val="2"/>
      </rPr>
      <t xml:space="preserve">보관정책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자동 스케줄 등록은 배포 범위 밖</t>
    </r>
  </si>
  <si>
    <t xml:space="preserve">PERF-01</t>
  </si>
  <si>
    <t xml:space="preserve">복합 인덱스</t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</si>
  <si>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사용자별 날짜 조회가 빨라야 한다</t>
    </r>
    <r>
      <rPr>
        <sz val="10"/>
        <color rgb="FF1B2430"/>
        <rFont val="Arial"/>
        <family val="0"/>
        <charset val="1"/>
      </rPr>
      <t xml:space="preserve">.</t>
    </r>
  </si>
  <si>
    <r>
      <rPr>
        <sz val="10"/>
        <color rgb="FF1B2430"/>
        <rFont val="Arial"/>
        <family val="0"/>
        <charset val="1"/>
      </rPr>
      <t xml:space="preserve">(user_id,date) </t>
    </r>
    <r>
      <rPr>
        <sz val="10"/>
        <color rgb="FF1B2430"/>
        <rFont val="Noto Sans CJK SC"/>
        <family val="2"/>
      </rPr>
      <t xml:space="preserve">복합 인덱스</t>
    </r>
  </si>
  <si>
    <t xml:space="preserve">PERF-02</t>
  </si>
  <si>
    <t xml:space="preserve">정적 파일 캐싱</t>
  </si>
  <si>
    <r>
      <rPr>
        <sz val="10"/>
        <color rgb="FF1B2430"/>
        <rFont val="Noto Sans CJK SC"/>
        <family val="2"/>
      </rPr>
      <t xml:space="preserve">시스템으로서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정적 자산 재다운로드를 줄여야 한다</t>
    </r>
    <r>
      <rPr>
        <sz val="10"/>
        <color rgb="FF1B2430"/>
        <rFont val="Arial"/>
        <family val="0"/>
        <charset val="1"/>
      </rPr>
      <t xml:space="preserve">.</t>
    </r>
  </si>
  <si>
    <r>
      <rPr>
        <sz val="10"/>
        <color rgb="FF1B2430"/>
        <rFont val="Arial"/>
        <family val="0"/>
        <charset val="1"/>
      </rPr>
      <t xml:space="preserve">Cache-Control </t>
    </r>
    <r>
      <rPr>
        <sz val="10"/>
        <color rgb="FF1B2430"/>
        <rFont val="Noto Sans CJK SC"/>
        <family val="2"/>
      </rPr>
      <t xml:space="preserve">헤더</t>
    </r>
  </si>
  <si>
    <t xml:space="preserve">Method</t>
  </si>
  <si>
    <t xml:space="preserve">Path</t>
  </si>
  <si>
    <t xml:space="preserve">설명</t>
  </si>
  <si>
    <t xml:space="preserve">GET</t>
  </si>
  <si>
    <t xml:space="preserve">/</t>
  </si>
  <si>
    <t xml:space="preserve">불필요</t>
  </si>
  <si>
    <t xml:space="preserve">Root</t>
  </si>
  <si>
    <r>
      <rPr>
        <sz val="10"/>
        <color rgb="FF1B2430"/>
        <rFont val="Arial"/>
        <family val="0"/>
        <charset val="1"/>
      </rPr>
      <t xml:space="preserve">/app/ </t>
    </r>
    <r>
      <rPr>
        <sz val="10"/>
        <color rgb="FF1B2430"/>
        <rFont val="Noto Sans CJK SC"/>
        <family val="2"/>
      </rPr>
      <t xml:space="preserve">유저 화면으로 리다이렉트</t>
    </r>
  </si>
  <si>
    <t xml:space="preserve">/api</t>
  </si>
  <si>
    <r>
      <rPr>
        <sz val="10"/>
        <color rgb="FF1B2430"/>
        <rFont val="Arial"/>
        <family val="0"/>
        <charset val="1"/>
      </rPr>
      <t xml:space="preserve">API </t>
    </r>
    <r>
      <rPr>
        <sz val="10"/>
        <color rgb="FF1B2430"/>
        <rFont val="Noto Sans CJK SC"/>
        <family val="2"/>
      </rPr>
      <t xml:space="preserve">상태 확인용 </t>
    </r>
    <r>
      <rPr>
        <sz val="10"/>
        <color rgb="FF1B2430"/>
        <rFont val="Arial"/>
        <family val="0"/>
        <charset val="1"/>
      </rPr>
      <t xml:space="preserve">JSON</t>
    </r>
  </si>
  <si>
    <t xml:space="preserve">/health</t>
  </si>
  <si>
    <t xml:space="preserve">헬스체크</t>
  </si>
  <si>
    <t xml:space="preserve">POST</t>
  </si>
  <si>
    <t xml:space="preserve">/auth/signup</t>
  </si>
  <si>
    <t xml:space="preserve">Auth</t>
  </si>
  <si>
    <r>
      <rPr>
        <sz val="10"/>
        <color rgb="FF1B2430"/>
        <rFont val="Noto Sans CJK SC"/>
        <family val="2"/>
      </rPr>
      <t xml:space="preserve">회원가입 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아이디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이름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비번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보안질문</t>
    </r>
    <r>
      <rPr>
        <sz val="10"/>
        <color rgb="FF1B2430"/>
        <rFont val="Arial"/>
        <family val="0"/>
        <charset val="1"/>
      </rPr>
      <t xml:space="preserve">)</t>
    </r>
  </si>
  <si>
    <t xml:space="preserve">/auth/login</t>
  </si>
  <si>
    <r>
      <rPr>
        <sz val="10"/>
        <color rgb="FF1B2430"/>
        <rFont val="Noto Sans CJK SC"/>
        <family val="2"/>
      </rPr>
      <t xml:space="preserve">로그인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세션 쿠키 발급</t>
    </r>
  </si>
  <si>
    <t xml:space="preserve">/auth/logout</t>
  </si>
  <si>
    <t xml:space="preserve">필요</t>
  </si>
  <si>
    <r>
      <rPr>
        <sz val="10"/>
        <color rgb="FF1B2430"/>
        <rFont val="Noto Sans CJK SC"/>
        <family val="2"/>
      </rPr>
      <t xml:space="preserve">로그아웃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세션 폐기</t>
    </r>
  </si>
  <si>
    <t xml:space="preserve">/auth/me</t>
  </si>
  <si>
    <r>
      <rPr>
        <sz val="10"/>
        <color rgb="FF1B2430"/>
        <rFont val="Noto Sans CJK SC"/>
        <family val="2"/>
      </rPr>
      <t xml:space="preserve">현재 로그인 사용자 정보</t>
    </r>
    <r>
      <rPr>
        <sz val="10"/>
        <color rgb="FF1B2430"/>
        <rFont val="Arial"/>
        <family val="0"/>
        <charset val="1"/>
      </rPr>
      <t xml:space="preserve">(role/name </t>
    </r>
    <r>
      <rPr>
        <sz val="10"/>
        <color rgb="FF1B2430"/>
        <rFont val="Noto Sans CJK SC"/>
        <family val="2"/>
      </rPr>
      <t xml:space="preserve">포함</t>
    </r>
    <r>
      <rPr>
        <sz val="10"/>
        <color rgb="FF1B2430"/>
        <rFont val="Arial"/>
        <family val="0"/>
        <charset val="1"/>
      </rPr>
      <t xml:space="preserve">)</t>
    </r>
  </si>
  <si>
    <t xml:space="preserve">/auth/security-question</t>
  </si>
  <si>
    <r>
      <rPr>
        <sz val="10"/>
        <color rgb="FF1B2430"/>
        <rFont val="Noto Sans CJK SC"/>
        <family val="2"/>
      </rPr>
      <t xml:space="preserve">비밀번호 찾기 </t>
    </r>
    <r>
      <rPr>
        <sz val="10"/>
        <color rgb="FF1B2430"/>
        <rFont val="Arial"/>
        <family val="0"/>
        <charset val="1"/>
      </rPr>
      <t xml:space="preserve">1</t>
    </r>
    <r>
      <rPr>
        <sz val="10"/>
        <color rgb="FF1B2430"/>
        <rFont val="Noto Sans CJK SC"/>
        <family val="2"/>
      </rPr>
      <t xml:space="preserve">단계</t>
    </r>
    <r>
      <rPr>
        <sz val="10"/>
        <color rgb="FF1B2430"/>
        <rFont val="Arial"/>
        <family val="0"/>
        <charset val="1"/>
      </rPr>
      <t xml:space="preserve">: </t>
    </r>
    <r>
      <rPr>
        <sz val="10"/>
        <color rgb="FF1B2430"/>
        <rFont val="Noto Sans CJK SC"/>
        <family val="2"/>
      </rPr>
      <t xml:space="preserve">보안질문 조회</t>
    </r>
  </si>
  <si>
    <t xml:space="preserve">/auth/reset-password</t>
  </si>
  <si>
    <r>
      <rPr>
        <sz val="10"/>
        <color rgb="FF1B2430"/>
        <rFont val="Noto Sans CJK SC"/>
        <family val="2"/>
      </rPr>
      <t xml:space="preserve">비밀번호 찾기 </t>
    </r>
    <r>
      <rPr>
        <sz val="10"/>
        <color rgb="FF1B2430"/>
        <rFont val="Arial"/>
        <family val="0"/>
        <charset val="1"/>
      </rPr>
      <t xml:space="preserve">2</t>
    </r>
    <r>
      <rPr>
        <sz val="10"/>
        <color rgb="FF1B2430"/>
        <rFont val="Noto Sans CJK SC"/>
        <family val="2"/>
      </rPr>
      <t xml:space="preserve">단계</t>
    </r>
    <r>
      <rPr>
        <sz val="10"/>
        <color rgb="FF1B2430"/>
        <rFont val="Arial"/>
        <family val="0"/>
        <charset val="1"/>
      </rPr>
      <t xml:space="preserve">: </t>
    </r>
    <r>
      <rPr>
        <sz val="10"/>
        <color rgb="FF1B2430"/>
        <rFont val="Noto Sans CJK SC"/>
        <family val="2"/>
      </rPr>
      <t xml:space="preserve">재설정</t>
    </r>
  </si>
  <si>
    <t xml:space="preserve">/auth/change-password</t>
  </si>
  <si>
    <t xml:space="preserve">/auth/change-name</t>
  </si>
  <si>
    <r>
      <rPr>
        <sz val="10"/>
        <color rgb="FF1B2430"/>
        <rFont val="Noto Sans CJK SC"/>
        <family val="2"/>
      </rPr>
      <t xml:space="preserve">이름 변경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설정</t>
    </r>
  </si>
  <si>
    <t xml:space="preserve">DELETE</t>
  </si>
  <si>
    <t xml:space="preserve">/records</t>
  </si>
  <si>
    <t xml:space="preserve">Records</t>
  </si>
  <si>
    <t xml:space="preserve">건강 기록 추가</t>
  </si>
  <si>
    <r>
      <rPr>
        <sz val="10"/>
        <color rgb="FF1B2430"/>
        <rFont val="Noto Sans CJK SC"/>
        <family val="2"/>
      </rPr>
      <t xml:space="preserve">전체 기록 조회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서버사이드 페이지네이션</t>
    </r>
    <r>
      <rPr>
        <sz val="10"/>
        <color rgb="FF1B2430"/>
        <rFont val="Arial"/>
        <family val="0"/>
        <charset val="1"/>
      </rPr>
      <t xml:space="preserve">)</t>
    </r>
  </si>
  <si>
    <t xml:space="preserve">/records/{id}</t>
  </si>
  <si>
    <t xml:space="preserve">기록 단건 조회</t>
  </si>
  <si>
    <t xml:space="preserve">PUT</t>
  </si>
  <si>
    <t xml:space="preserve">기록 수정</t>
  </si>
  <si>
    <t xml:space="preserve">기록 삭제</t>
  </si>
  <si>
    <t xml:space="preserve">/search</t>
  </si>
  <si>
    <t xml:space="preserve">/stats</t>
  </si>
  <si>
    <r>
      <rPr>
        <sz val="10"/>
        <color rgb="FF1B2430"/>
        <rFont val="Noto Sans CJK SC"/>
        <family val="2"/>
      </rPr>
      <t xml:space="preserve">평균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분포 통계</t>
    </r>
  </si>
  <si>
    <t xml:space="preserve">/goals</t>
  </si>
  <si>
    <t xml:space="preserve">Goals</t>
  </si>
  <si>
    <t xml:space="preserve">목표 설정</t>
  </si>
  <si>
    <r>
      <rPr>
        <sz val="10"/>
        <color rgb="FF1B2430"/>
        <rFont val="Noto Sans CJK SC"/>
        <family val="2"/>
      </rPr>
      <t xml:space="preserve">목표 및 달성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예측 조회</t>
    </r>
  </si>
  <si>
    <t xml:space="preserve">/reports/weekly</t>
  </si>
  <si>
    <t xml:space="preserve">Reports</t>
  </si>
  <si>
    <r>
      <rPr>
        <sz val="10"/>
        <color rgb="FF1B2430"/>
        <rFont val="Noto Sans CJK SC"/>
        <family val="2"/>
      </rPr>
      <t xml:space="preserve">주간 리포트 </t>
    </r>
    <r>
      <rPr>
        <sz val="10"/>
        <color rgb="FF1B2430"/>
        <rFont val="Arial"/>
        <family val="0"/>
        <charset val="1"/>
      </rPr>
      <t xml:space="preserve">+ AI </t>
    </r>
    <r>
      <rPr>
        <sz val="10"/>
        <color rgb="FF1B2430"/>
        <rFont val="Noto Sans CJK SC"/>
        <family val="2"/>
      </rPr>
      <t xml:space="preserve">요약</t>
    </r>
  </si>
  <si>
    <t xml:space="preserve">/export/csv</t>
  </si>
  <si>
    <t xml:space="preserve">Export</t>
  </si>
  <si>
    <r>
      <rPr>
        <sz val="10"/>
        <color rgb="FF1B2430"/>
        <rFont val="Arial"/>
        <family val="0"/>
        <charset val="1"/>
      </rPr>
      <t xml:space="preserve">CSV </t>
    </r>
    <r>
      <rPr>
        <sz val="10"/>
        <color rgb="FF1B2430"/>
        <rFont val="Noto Sans CJK SC"/>
        <family val="2"/>
      </rPr>
      <t xml:space="preserve">다운로드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수식인젝션 방어</t>
    </r>
    <r>
      <rPr>
        <sz val="10"/>
        <color rgb="FF1B2430"/>
        <rFont val="Arial"/>
        <family val="0"/>
        <charset val="1"/>
      </rPr>
      <t xml:space="preserve">)</t>
    </r>
  </si>
  <si>
    <t xml:space="preserve">/export/json</t>
  </si>
  <si>
    <r>
      <rPr>
        <sz val="10"/>
        <color rgb="FF1B2430"/>
        <rFont val="Arial"/>
        <family val="0"/>
        <charset val="1"/>
      </rPr>
      <t xml:space="preserve">JSON </t>
    </r>
    <r>
      <rPr>
        <sz val="10"/>
        <color rgb="FF1B2430"/>
        <rFont val="Noto Sans CJK SC"/>
        <family val="2"/>
      </rPr>
      <t xml:space="preserve">다운로드</t>
    </r>
  </si>
  <si>
    <t xml:space="preserve">/health-coaching</t>
  </si>
  <si>
    <t xml:space="preserve">AI Coach</t>
  </si>
  <si>
    <r>
      <rPr>
        <sz val="10"/>
        <color rgb="FF1B2430"/>
        <rFont val="Arial"/>
        <family val="0"/>
        <charset val="1"/>
      </rPr>
      <t xml:space="preserve">AI </t>
    </r>
    <r>
      <rPr>
        <sz val="10"/>
        <color rgb="FF1B2430"/>
        <rFont val="Noto Sans CJK SC"/>
        <family val="2"/>
      </rPr>
      <t xml:space="preserve">코칭 메시지</t>
    </r>
    <r>
      <rPr>
        <sz val="10"/>
        <color rgb="FF1B2430"/>
        <rFont val="Arial"/>
        <family val="0"/>
        <charset val="1"/>
      </rPr>
      <t xml:space="preserve">(LLM+</t>
    </r>
    <r>
      <rPr>
        <sz val="10"/>
        <color rgb="FF1B2430"/>
        <rFont val="Noto Sans CJK SC"/>
        <family val="2"/>
      </rPr>
      <t xml:space="preserve">폴백</t>
    </r>
    <r>
      <rPr>
        <sz val="10"/>
        <color rgb="FF1B2430"/>
        <rFont val="Arial"/>
        <family val="0"/>
        <charset val="1"/>
      </rPr>
      <t xml:space="preserve">+</t>
    </r>
    <r>
      <rPr>
        <sz val="10"/>
        <color rgb="FF1B2430"/>
        <rFont val="Noto Sans CJK SC"/>
        <family val="2"/>
      </rPr>
      <t xml:space="preserve">캐싱</t>
    </r>
    <r>
      <rPr>
        <sz val="10"/>
        <color rgb="FF1B2430"/>
        <rFont val="Arial"/>
        <family val="0"/>
        <charset val="1"/>
      </rPr>
      <t xml:space="preserve">)</t>
    </r>
  </si>
  <si>
    <t xml:space="preserve">/trends</t>
  </si>
  <si>
    <t xml:space="preserve">지표별 추세</t>
  </si>
  <si>
    <t xml:space="preserve">/risk-detection</t>
  </si>
  <si>
    <t xml:space="preserve">/health-score</t>
  </si>
  <si>
    <t xml:space="preserve">종합 건강 점수</t>
  </si>
  <si>
    <t xml:space="preserve">/calendar</t>
  </si>
  <si>
    <t xml:space="preserve">월간 상태 캘린더</t>
  </si>
  <si>
    <t xml:space="preserve">/timeline</t>
  </si>
  <si>
    <t xml:space="preserve">변화 이벤트 타임라인</t>
  </si>
  <si>
    <t xml:space="preserve">/badges</t>
  </si>
  <si>
    <t xml:space="preserve">획득 배지 목록</t>
  </si>
  <si>
    <t xml:space="preserve">/integrations/status</t>
  </si>
  <si>
    <t xml:space="preserve">Integrations</t>
  </si>
  <si>
    <t xml:space="preserve">연동 현황 조회</t>
  </si>
  <si>
    <t xml:space="preserve">/integrations/wearable/mock</t>
  </si>
  <si>
    <r>
      <rPr>
        <sz val="10"/>
        <color rgb="FF1B2430"/>
        <rFont val="Noto Sans CJK SC"/>
        <family val="2"/>
      </rPr>
      <t xml:space="preserve">웨어러블 </t>
    </r>
    <r>
      <rPr>
        <sz val="10"/>
        <color rgb="FF1B2430"/>
        <rFont val="Arial"/>
        <family val="0"/>
        <charset val="1"/>
      </rPr>
      <t xml:space="preserve">Mock </t>
    </r>
    <r>
      <rPr>
        <sz val="10"/>
        <color rgb="FF1B2430"/>
        <rFont val="Noto Sans CJK SC"/>
        <family val="2"/>
      </rPr>
      <t xml:space="preserve">데이터</t>
    </r>
  </si>
  <si>
    <t xml:space="preserve">/integrations/import/csv/preview</t>
  </si>
  <si>
    <r>
      <rPr>
        <sz val="10"/>
        <color rgb="FF1B2430"/>
        <rFont val="Arial"/>
        <family val="0"/>
        <charset val="1"/>
      </rPr>
      <t xml:space="preserve">CSV </t>
    </r>
    <r>
      <rPr>
        <sz val="10"/>
        <color rgb="FF1B2430"/>
        <rFont val="Noto Sans CJK SC"/>
        <family val="2"/>
      </rPr>
      <t xml:space="preserve">미리보기</t>
    </r>
  </si>
  <si>
    <t xml:space="preserve">/integrations/import/csv/commit</t>
  </si>
  <si>
    <r>
      <rPr>
        <sz val="10"/>
        <color rgb="FF1B2430"/>
        <rFont val="Arial"/>
        <family val="0"/>
        <charset val="1"/>
      </rPr>
      <t xml:space="preserve">CSV </t>
    </r>
    <r>
      <rPr>
        <sz val="10"/>
        <color rgb="FF1B2430"/>
        <rFont val="Noto Sans CJK SC"/>
        <family val="2"/>
      </rPr>
      <t xml:space="preserve">확정 저장</t>
    </r>
  </si>
  <si>
    <t xml:space="preserve">/push/vapid-public-key</t>
  </si>
  <si>
    <t xml:space="preserve">Push</t>
  </si>
  <si>
    <r>
      <rPr>
        <sz val="10"/>
        <color rgb="FF1B2430"/>
        <rFont val="Arial"/>
        <family val="0"/>
        <charset val="1"/>
      </rPr>
      <t xml:space="preserve">VAPID </t>
    </r>
    <r>
      <rPr>
        <sz val="10"/>
        <color rgb="FF1B2430"/>
        <rFont val="Noto Sans CJK SC"/>
        <family val="2"/>
      </rPr>
      <t xml:space="preserve">공개키 조회</t>
    </r>
  </si>
  <si>
    <t xml:space="preserve">/push/subscribe</t>
  </si>
  <si>
    <r>
      <rPr>
        <sz val="10"/>
        <color rgb="FF1B2430"/>
        <rFont val="Arial"/>
        <family val="0"/>
        <charset val="1"/>
      </rPr>
      <t xml:space="preserve">Web Push </t>
    </r>
    <r>
      <rPr>
        <sz val="10"/>
        <color rgb="FF1B2430"/>
        <rFont val="Noto Sans CJK SC"/>
        <family val="2"/>
      </rPr>
      <t xml:space="preserve">구독 등록</t>
    </r>
  </si>
  <si>
    <t xml:space="preserve">/push/unsubscribe</t>
  </si>
  <si>
    <t xml:space="preserve">구독 해제</t>
  </si>
  <si>
    <t xml:space="preserve">/push/send-reminder</t>
  </si>
  <si>
    <t xml:space="preserve">리마인더 수동 발송</t>
  </si>
  <si>
    <t xml:space="preserve">/admin/users</t>
  </si>
  <si>
    <t xml:space="preserve">Admin</t>
  </si>
  <si>
    <r>
      <rPr>
        <sz val="10"/>
        <color rgb="FF1B2430"/>
        <rFont val="Noto Sans CJK SC"/>
        <family val="2"/>
      </rPr>
      <t xml:space="preserve">사용자 목록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검색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필터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정렬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페이지네이션</t>
    </r>
    <r>
      <rPr>
        <sz val="10"/>
        <color rgb="FF1B2430"/>
        <rFont val="Arial"/>
        <family val="0"/>
        <charset val="1"/>
      </rPr>
      <t xml:space="preserve">)</t>
    </r>
  </si>
  <si>
    <t xml:space="preserve">/admin/stats</t>
  </si>
  <si>
    <r>
      <rPr>
        <sz val="10"/>
        <color rgb="FF1B2430"/>
        <rFont val="Noto Sans CJK SC"/>
        <family val="2"/>
      </rPr>
      <t xml:space="preserve">전체 통계 </t>
    </r>
    <r>
      <rPr>
        <sz val="10"/>
        <color rgb="FF1B2430"/>
        <rFont val="Arial"/>
        <family val="0"/>
        <charset val="1"/>
      </rPr>
      <t xml:space="preserve">+ </t>
    </r>
    <r>
      <rPr>
        <sz val="10"/>
        <color rgb="FF1B2430"/>
        <rFont val="Noto Sans CJK SC"/>
        <family val="2"/>
      </rPr>
      <t xml:space="preserve">코호트 리텐션</t>
    </r>
  </si>
  <si>
    <t xml:space="preserve">/admin/users/{id}</t>
  </si>
  <si>
    <t xml:space="preserve">사용자 상세 정보</t>
  </si>
  <si>
    <t xml:space="preserve">/admin/users/{id}/records</t>
  </si>
  <si>
    <t xml:space="preserve">사용자별 기록 조회</t>
  </si>
  <si>
    <t xml:space="preserve">계정 삭제</t>
  </si>
  <si>
    <t xml:space="preserve">/admin/users/{id}/force-logout</t>
  </si>
  <si>
    <t xml:space="preserve">세션 강제 무효화</t>
  </si>
  <si>
    <t xml:space="preserve">/admin/users/{id}/reset-password</t>
  </si>
  <si>
    <t xml:space="preserve">임시 비밀번호 발급</t>
  </si>
  <si>
    <t xml:space="preserve">/admin/audit-log</t>
  </si>
  <si>
    <t xml:space="preserve">관리자 조치 이력</t>
  </si>
  <si>
    <t xml:space="preserve">테이블</t>
  </si>
  <si>
    <t xml:space="preserve">주요 컬럼</t>
  </si>
  <si>
    <t xml:space="preserve">users</t>
  </si>
  <si>
    <t xml:space="preserve">id, username(unique), name, password_hash/salt, role, security_question/answer_hash/salt, failed_login_attempts, locked_until, created_at</t>
  </si>
  <si>
    <r>
      <rPr>
        <sz val="10"/>
        <color rgb="FF1B2430"/>
        <rFont val="Noto Sans CJK SC"/>
        <family val="2"/>
      </rPr>
      <t xml:space="preserve">계정</t>
    </r>
    <r>
      <rPr>
        <sz val="10"/>
        <color rgb="FF1B2430"/>
        <rFont val="Arial"/>
        <family val="0"/>
        <charset val="1"/>
      </rPr>
      <t xml:space="preserve">. </t>
    </r>
    <r>
      <rPr>
        <sz val="10"/>
        <color rgb="FF1B2430"/>
        <rFont val="Noto Sans CJK SC"/>
        <family val="2"/>
      </rPr>
      <t xml:space="preserve">실명</t>
    </r>
    <r>
      <rPr>
        <sz val="10"/>
        <color rgb="FF1B2430"/>
        <rFont val="Arial"/>
        <family val="0"/>
        <charset val="1"/>
      </rPr>
      <t xml:space="preserve">(name)</t>
    </r>
    <r>
      <rPr>
        <sz val="10"/>
        <color rgb="FF1B2430"/>
        <rFont val="Noto Sans CJK SC"/>
        <family val="2"/>
      </rPr>
      <t xml:space="preserve">은 </t>
    </r>
    <r>
      <rPr>
        <sz val="10"/>
        <color rgb="FF1B2430"/>
        <rFont val="Arial"/>
        <family val="0"/>
        <charset val="1"/>
      </rPr>
      <t xml:space="preserve">nullable(</t>
    </r>
    <r>
      <rPr>
        <sz val="10"/>
        <color rgb="FF1B2430"/>
        <rFont val="Noto Sans CJK SC"/>
        <family val="2"/>
      </rPr>
      <t xml:space="preserve">레거시 계정 대응</t>
    </r>
    <r>
      <rPr>
        <sz val="10"/>
        <color rgb="FF1B2430"/>
        <rFont val="Arial"/>
        <family val="0"/>
        <charset val="1"/>
      </rPr>
      <t xml:space="preserve">), </t>
    </r>
    <r>
      <rPr>
        <sz val="10"/>
        <color rgb="FF1B2430"/>
        <rFont val="Noto Sans CJK SC"/>
        <family val="2"/>
      </rPr>
      <t xml:space="preserve">로그인 잠금 상태 내장</t>
    </r>
  </si>
  <si>
    <t xml:space="preserve">sessions</t>
  </si>
  <si>
    <t xml:space="preserve">id, token(unique), user_id, expires_at, created_at</t>
  </si>
  <si>
    <r>
      <rPr>
        <sz val="10"/>
        <color rgb="FF1B2430"/>
        <rFont val="Noto Sans CJK SC"/>
        <family val="2"/>
      </rPr>
      <t xml:space="preserve">로그인 세션</t>
    </r>
    <r>
      <rPr>
        <sz val="10"/>
        <color rgb="FF1B2430"/>
        <rFont val="Arial"/>
        <family val="0"/>
        <charset val="1"/>
      </rPr>
      <t xml:space="preserve">. '</t>
    </r>
    <r>
      <rPr>
        <sz val="10"/>
        <color rgb="FF1B2430"/>
        <rFont val="Noto Sans CJK SC"/>
        <family val="2"/>
      </rPr>
      <t xml:space="preserve">현재 접속중</t>
    </r>
    <r>
      <rPr>
        <sz val="10"/>
        <color rgb="FF1B2430"/>
        <rFont val="Arial"/>
        <family val="0"/>
        <charset val="1"/>
      </rPr>
      <t xml:space="preserve">' </t>
    </r>
    <r>
      <rPr>
        <sz val="10"/>
        <color rgb="FF1B2430"/>
        <rFont val="Noto Sans CJK SC"/>
        <family val="2"/>
      </rPr>
      <t xml:space="preserve">판정의 근사치 기준</t>
    </r>
  </si>
  <si>
    <t xml:space="preserve">audit_logs</t>
  </si>
  <si>
    <t xml:space="preserve">id, admin_username, action, target_username, detail, created_at</t>
  </si>
  <si>
    <r>
      <rPr>
        <sz val="10"/>
        <color rgb="FF1B2430"/>
        <rFont val="Noto Sans CJK SC"/>
        <family val="2"/>
      </rPr>
      <t xml:space="preserve">관리자 조치 이력</t>
    </r>
    <r>
      <rPr>
        <sz val="10"/>
        <color rgb="FF1B2430"/>
        <rFont val="Arial"/>
        <family val="0"/>
        <charset val="1"/>
      </rPr>
      <t xml:space="preserve">. FK </t>
    </r>
    <r>
      <rPr>
        <sz val="10"/>
        <color rgb="FF1B2430"/>
        <rFont val="Noto Sans CJK SC"/>
        <family val="2"/>
      </rPr>
      <t xml:space="preserve">없이 </t>
    </r>
    <r>
      <rPr>
        <sz val="10"/>
        <color rgb="FF1B2430"/>
        <rFont val="Arial"/>
        <family val="0"/>
        <charset val="1"/>
      </rPr>
      <t xml:space="preserve">username </t>
    </r>
    <r>
      <rPr>
        <sz val="10"/>
        <color rgb="FF1B2430"/>
        <rFont val="Noto Sans CJK SC"/>
        <family val="2"/>
      </rPr>
      <t xml:space="preserve">문자열 저장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대상 삭제 후에도 보존</t>
    </r>
    <r>
      <rPr>
        <sz val="10"/>
        <color rgb="FF1B2430"/>
        <rFont val="Arial"/>
        <family val="0"/>
        <charset val="1"/>
      </rPr>
      <t xml:space="preserve">)</t>
    </r>
  </si>
  <si>
    <t xml:space="preserve">health_records</t>
  </si>
  <si>
    <t xml:space="preserve">id, user_id, date, weight, height, systolic, diastolic, blood_sugar, steps, sleep_hours, memo, bmi, bmi_category, bp_category, sugar_category, warnings, activity_level, sleep_status, created_at, updated_at</t>
  </si>
  <si>
    <r>
      <rPr>
        <sz val="10"/>
        <color rgb="FF1B2430"/>
        <rFont val="Noto Sans CJK SC"/>
        <family val="2"/>
      </rPr>
      <t xml:space="preserve">건강 기록 </t>
    </r>
    <r>
      <rPr>
        <sz val="10"/>
        <color rgb="FF1B2430"/>
        <rFont val="Arial"/>
        <family val="0"/>
        <charset val="1"/>
      </rPr>
      <t xml:space="preserve">+ </t>
    </r>
    <r>
      <rPr>
        <sz val="10"/>
        <color rgb="FF1B2430"/>
        <rFont val="Noto Sans CJK SC"/>
        <family val="2"/>
      </rPr>
      <t xml:space="preserve">파생값</t>
    </r>
    <r>
      <rPr>
        <sz val="10"/>
        <color rgb="FF1B2430"/>
        <rFont val="Arial"/>
        <family val="0"/>
        <charset val="1"/>
      </rPr>
      <t xml:space="preserve">. (user_id,date) </t>
    </r>
    <r>
      <rPr>
        <sz val="10"/>
        <color rgb="FF1B2430"/>
        <rFont val="Noto Sans CJK SC"/>
        <family val="2"/>
      </rPr>
      <t xml:space="preserve">복합 인덱스</t>
    </r>
  </si>
  <si>
    <t xml:space="preserve">goals</t>
  </si>
  <si>
    <t xml:space="preserve">id, user_id, target_weight, target_systolic, target_diastolic, target_blood_sugar, created_at, updated_at</t>
  </si>
  <si>
    <r>
      <rPr>
        <sz val="10"/>
        <color rgb="FF1B2430"/>
        <rFont val="Noto Sans CJK SC"/>
        <family val="2"/>
      </rPr>
      <t xml:space="preserve">목표</t>
    </r>
    <r>
      <rPr>
        <sz val="10"/>
        <color rgb="FF1B2430"/>
        <rFont val="Arial"/>
        <family val="0"/>
        <charset val="1"/>
      </rPr>
      <t xml:space="preserve">. </t>
    </r>
    <r>
      <rPr>
        <sz val="10"/>
        <color rgb="FF1B2430"/>
        <rFont val="Noto Sans CJK SC"/>
        <family val="2"/>
      </rPr>
      <t xml:space="preserve">사용자당 </t>
    </r>
    <r>
      <rPr>
        <sz val="10"/>
        <color rgb="FF1B2430"/>
        <rFont val="Arial"/>
        <family val="0"/>
        <charset val="1"/>
      </rPr>
      <t xml:space="preserve">1</t>
    </r>
    <r>
      <rPr>
        <sz val="10"/>
        <color rgb="FF1B2430"/>
        <rFont val="Noto Sans CJK SC"/>
        <family val="2"/>
      </rPr>
      <t xml:space="preserve">건은 애플리케이션 로직으로만 보장</t>
    </r>
    <r>
      <rPr>
        <sz val="10"/>
        <color rgb="FF1B2430"/>
        <rFont val="Arial"/>
        <family val="0"/>
        <charset val="1"/>
      </rPr>
      <t xml:space="preserve">(DB unique </t>
    </r>
    <r>
      <rPr>
        <sz val="10"/>
        <color rgb="FF1B2430"/>
        <rFont val="Noto Sans CJK SC"/>
        <family val="2"/>
      </rPr>
      <t xml:space="preserve">제약 없음</t>
    </r>
    <r>
      <rPr>
        <sz val="10"/>
        <color rgb="FF1B2430"/>
        <rFont val="Arial"/>
        <family val="0"/>
        <charset val="1"/>
      </rPr>
      <t xml:space="preserve">)</t>
    </r>
  </si>
  <si>
    <t xml:space="preserve">badges</t>
  </si>
  <si>
    <t xml:space="preserve">id, user_id, badge_key, earned_at</t>
  </si>
  <si>
    <r>
      <rPr>
        <sz val="10"/>
        <color rgb="FF1B2430"/>
        <rFont val="Noto Sans CJK SC"/>
        <family val="2"/>
      </rPr>
      <t xml:space="preserve">자동 획득 배지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조회 시점 지연 평가</t>
    </r>
  </si>
  <si>
    <t xml:space="preserve">coaching_cache</t>
  </si>
  <si>
    <t xml:space="preserve">id, user_id(unique), generated_date, messages_json</t>
  </si>
  <si>
    <r>
      <rPr>
        <sz val="10"/>
        <color rgb="FF1B2430"/>
        <rFont val="Arial"/>
        <family val="0"/>
        <charset val="1"/>
      </rPr>
      <t xml:space="preserve">AI </t>
    </r>
    <r>
      <rPr>
        <sz val="10"/>
        <color rgb="FF1B2430"/>
        <rFont val="Noto Sans CJK SC"/>
        <family val="2"/>
      </rPr>
      <t xml:space="preserve">코칭 메시지 캐시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사용자당 </t>
    </r>
    <r>
      <rPr>
        <sz val="10"/>
        <color rgb="FF1B2430"/>
        <rFont val="Arial"/>
        <family val="0"/>
        <charset val="1"/>
      </rPr>
      <t xml:space="preserve">1</t>
    </r>
    <r>
      <rPr>
        <sz val="10"/>
        <color rgb="FF1B2430"/>
        <rFont val="Noto Sans CJK SC"/>
        <family val="2"/>
      </rPr>
      <t xml:space="preserve">건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하루 </t>
    </r>
    <r>
      <rPr>
        <sz val="10"/>
        <color rgb="FF1B2430"/>
        <rFont val="Arial"/>
        <family val="0"/>
        <charset val="1"/>
      </rPr>
      <t xml:space="preserve">1</t>
    </r>
    <r>
      <rPr>
        <sz val="10"/>
        <color rgb="FF1B2430"/>
        <rFont val="Noto Sans CJK SC"/>
        <family val="2"/>
      </rPr>
      <t xml:space="preserve">회 재생성</t>
    </r>
  </si>
  <si>
    <t xml:space="preserve">push_subscriptions</t>
  </si>
  <si>
    <t xml:space="preserve">id, user_id, endpoint(unique), p256dh, auth, created_at, last_reminder_sent_date</t>
  </si>
  <si>
    <r>
      <rPr>
        <sz val="10"/>
        <color rgb="FF1B2430"/>
        <rFont val="Arial"/>
        <family val="0"/>
        <charset val="1"/>
      </rPr>
      <t xml:space="preserve">Web Push </t>
    </r>
    <r>
      <rPr>
        <sz val="10"/>
        <color rgb="FF1B2430"/>
        <rFont val="Noto Sans CJK SC"/>
        <family val="2"/>
      </rPr>
      <t xml:space="preserve">구독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기기별 다중 가능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당일 중복발송 방지 필드 포함</t>
    </r>
  </si>
  <si>
    <t xml:space="preserve">구분</t>
  </si>
  <si>
    <t xml:space="preserve">요구사항</t>
  </si>
  <si>
    <t xml:space="preserve">상세</t>
  </si>
  <si>
    <t xml:space="preserve">비밀번호 저장</t>
  </si>
  <si>
    <r>
      <rPr>
        <sz val="10"/>
        <color rgb="FF1B2430"/>
        <rFont val="Arial"/>
        <family val="0"/>
        <charset val="1"/>
      </rPr>
      <t xml:space="preserve">PBKDF2-HMAC-SHA256 </t>
    </r>
    <r>
      <rPr>
        <sz val="10"/>
        <color rgb="FF1B2430"/>
        <rFont val="Noto Sans CJK SC"/>
        <family val="2"/>
      </rPr>
      <t xml:space="preserve">해시 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평문 저장 없음</t>
    </r>
    <r>
      <rPr>
        <sz val="10"/>
        <color rgb="FF1B2430"/>
        <rFont val="Arial"/>
        <family val="0"/>
        <charset val="1"/>
      </rPr>
      <t xml:space="preserve">)</t>
    </r>
  </si>
  <si>
    <t xml:space="preserve">세션 관리</t>
  </si>
  <si>
    <r>
      <rPr>
        <sz val="10"/>
        <color rgb="FF1B2430"/>
        <rFont val="Arial"/>
        <family val="0"/>
        <charset val="1"/>
      </rPr>
      <t xml:space="preserve">HttpOnly </t>
    </r>
    <r>
      <rPr>
        <sz val="10"/>
        <color rgb="FF1B2430"/>
        <rFont val="Noto Sans CJK SC"/>
        <family val="2"/>
      </rPr>
      <t xml:space="preserve">쿠키 </t>
    </r>
    <r>
      <rPr>
        <sz val="10"/>
        <color rgb="FF1B2430"/>
        <rFont val="Arial"/>
        <family val="0"/>
        <charset val="1"/>
      </rPr>
      <t xml:space="preserve">+ </t>
    </r>
    <r>
      <rPr>
        <sz val="10"/>
        <color rgb="FF1B2430"/>
        <rFont val="Noto Sans CJK SC"/>
        <family val="2"/>
      </rPr>
      <t xml:space="preserve">서버 </t>
    </r>
    <r>
      <rPr>
        <sz val="10"/>
        <color rgb="FF1B2430"/>
        <rFont val="Arial"/>
        <family val="0"/>
        <charset val="1"/>
      </rPr>
      <t xml:space="preserve">DB </t>
    </r>
    <r>
      <rPr>
        <sz val="10"/>
        <color rgb="FF1B2430"/>
        <rFont val="Noto Sans CJK SC"/>
        <family val="2"/>
      </rPr>
      <t xml:space="preserve">토큰</t>
    </r>
    <r>
      <rPr>
        <sz val="10"/>
        <color rgb="FF1B2430"/>
        <rFont val="Arial"/>
        <family val="0"/>
        <charset val="1"/>
      </rPr>
      <t xml:space="preserve">, JWT </t>
    </r>
    <r>
      <rPr>
        <sz val="10"/>
        <color rgb="FF1B2430"/>
        <rFont val="Noto Sans CJK SC"/>
        <family val="2"/>
      </rPr>
      <t xml:space="preserve">미사용</t>
    </r>
  </si>
  <si>
    <t xml:space="preserve">전송 보안</t>
  </si>
  <si>
    <r>
      <rPr>
        <sz val="10"/>
        <color rgb="FF1B2430"/>
        <rFont val="Noto Sans CJK SC"/>
        <family val="2"/>
      </rPr>
      <t xml:space="preserve">실서버 </t>
    </r>
    <r>
      <rPr>
        <sz val="10"/>
        <color rgb="FF1B2430"/>
        <rFont val="Arial"/>
        <family val="0"/>
        <charset val="1"/>
      </rPr>
      <t xml:space="preserve">HTTPS(Let's Encrypt) + COOKIE_SECURE=true </t>
    </r>
    <r>
      <rPr>
        <sz val="10"/>
        <color rgb="FF1B2430"/>
        <rFont val="Noto Sans CJK SC"/>
        <family val="2"/>
      </rPr>
      <t xml:space="preserve">적용 완료</t>
    </r>
  </si>
  <si>
    <t xml:space="preserve">어뷰징 방지</t>
  </si>
  <si>
    <r>
      <rPr>
        <sz val="10"/>
        <color rgb="FF1B2430"/>
        <rFont val="Noto Sans CJK SC"/>
        <family val="2"/>
      </rPr>
      <t xml:space="preserve">계정 잠금</t>
    </r>
    <r>
      <rPr>
        <sz val="10"/>
        <color rgb="FF1B2430"/>
        <rFont val="Arial"/>
        <family val="0"/>
        <charset val="1"/>
      </rPr>
      <t xml:space="preserve">(5</t>
    </r>
    <r>
      <rPr>
        <sz val="10"/>
        <color rgb="FF1B2430"/>
        <rFont val="Noto Sans CJK SC"/>
        <family val="2"/>
      </rPr>
      <t xml:space="preserve">회</t>
    </r>
    <r>
      <rPr>
        <sz val="10"/>
        <color rgb="FF1B2430"/>
        <rFont val="Arial"/>
        <family val="0"/>
        <charset val="1"/>
      </rPr>
      <t xml:space="preserve">/15</t>
    </r>
    <r>
      <rPr>
        <sz val="10"/>
        <color rgb="FF1B2430"/>
        <rFont val="Noto Sans CJK SC"/>
        <family val="2"/>
      </rPr>
      <t xml:space="preserve">분</t>
    </r>
    <r>
      <rPr>
        <sz val="10"/>
        <color rgb="FF1B2430"/>
        <rFont val="Arial"/>
        <family val="0"/>
        <charset val="1"/>
      </rPr>
      <t xml:space="preserve">) + IP </t>
    </r>
    <r>
      <rPr>
        <sz val="10"/>
        <color rgb="FF1B2430"/>
        <rFont val="Noto Sans CJK SC"/>
        <family val="2"/>
      </rPr>
      <t xml:space="preserve">기준 요청 제한</t>
    </r>
  </si>
  <si>
    <r>
      <rPr>
        <sz val="10"/>
        <color rgb="FF1B2430"/>
        <rFont val="Arial"/>
        <family val="0"/>
        <charset val="1"/>
      </rPr>
      <t xml:space="preserve">XSS </t>
    </r>
    <r>
      <rPr>
        <sz val="10"/>
        <color rgb="FF1B2430"/>
        <rFont val="Noto Sans CJK SC"/>
        <family val="2"/>
      </rPr>
      <t xml:space="preserve">방지</t>
    </r>
  </si>
  <si>
    <r>
      <rPr>
        <sz val="10"/>
        <color rgb="FF1B2430"/>
        <rFont val="Noto Sans CJK SC"/>
        <family val="2"/>
      </rPr>
      <t xml:space="preserve">전수조사 완료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공통 </t>
    </r>
    <r>
      <rPr>
        <sz val="10"/>
        <color rgb="FF1B2430"/>
        <rFont val="Arial"/>
        <family val="0"/>
        <charset val="1"/>
      </rPr>
      <t xml:space="preserve">escapeHtml </t>
    </r>
    <r>
      <rPr>
        <sz val="10"/>
        <color rgb="FF1B2430"/>
        <rFont val="Noto Sans CJK SC"/>
        <family val="2"/>
      </rPr>
      <t xml:space="preserve">헬퍼로 사용자 입력 렌더링 통일</t>
    </r>
  </si>
  <si>
    <r>
      <rPr>
        <sz val="10"/>
        <color rgb="FF1B2430"/>
        <rFont val="Arial"/>
        <family val="0"/>
        <charset val="1"/>
      </rPr>
      <t xml:space="preserve">CSV </t>
    </r>
    <r>
      <rPr>
        <sz val="10"/>
        <color rgb="FF1B2430"/>
        <rFont val="Noto Sans CJK SC"/>
        <family val="2"/>
      </rPr>
      <t xml:space="preserve">수식 인젝션 방지</t>
    </r>
  </si>
  <si>
    <r>
      <rPr>
        <sz val="10"/>
        <color rgb="FF1B2430"/>
        <rFont val="Arial"/>
        <family val="0"/>
        <charset val="1"/>
      </rPr>
      <t xml:space="preserve">Export </t>
    </r>
    <r>
      <rPr>
        <sz val="10"/>
        <color rgb="FF1B2430"/>
        <rFont val="Noto Sans CJK SC"/>
        <family val="2"/>
      </rPr>
      <t xml:space="preserve">셀 값 이스케이프 적용</t>
    </r>
  </si>
  <si>
    <r>
      <rPr>
        <sz val="10"/>
        <color rgb="FF1B2430"/>
        <rFont val="Arial"/>
        <family val="0"/>
        <charset val="1"/>
      </rPr>
      <t xml:space="preserve">.dockerignore </t>
    </r>
    <r>
      <rPr>
        <sz val="10"/>
        <color rgb="FF1B2430"/>
        <rFont val="Noto Sans CJK SC"/>
        <family val="2"/>
      </rPr>
      <t xml:space="preserve">이중 패턴 적용</t>
    </r>
    <r>
      <rPr>
        <sz val="10"/>
        <color rgb="FF1B2430"/>
        <rFont val="Arial"/>
        <family val="0"/>
        <charset val="1"/>
      </rPr>
      <t xml:space="preserve">(nested path </t>
    </r>
    <r>
      <rPr>
        <sz val="10"/>
        <color rgb="FF1B2430"/>
        <rFont val="Noto Sans CJK SC"/>
        <family val="2"/>
      </rPr>
      <t xml:space="preserve">누락 버그 수정</t>
    </r>
    <r>
      <rPr>
        <sz val="10"/>
        <color rgb="FF1B2430"/>
        <rFont val="Arial"/>
        <family val="0"/>
        <charset val="1"/>
      </rPr>
      <t xml:space="preserve">), .env </t>
    </r>
    <r>
      <rPr>
        <sz val="10"/>
        <color rgb="FF1B2430"/>
        <rFont val="Noto Sans CJK SC"/>
        <family val="2"/>
      </rPr>
      <t xml:space="preserve">미커밋</t>
    </r>
  </si>
  <si>
    <t xml:space="preserve">권한 경계</t>
  </si>
  <si>
    <r>
      <rPr>
        <sz val="10"/>
        <color rgb="FF1B2430"/>
        <rFont val="Noto Sans CJK SC"/>
        <family val="2"/>
      </rPr>
      <t xml:space="preserve">관리자 </t>
    </r>
    <r>
      <rPr>
        <sz val="10"/>
        <color rgb="FF1B2430"/>
        <rFont val="Arial"/>
        <family val="0"/>
        <charset val="1"/>
      </rPr>
      <t xml:space="preserve">API 403 </t>
    </r>
    <r>
      <rPr>
        <sz val="10"/>
        <color rgb="FF1B2430"/>
        <rFont val="Noto Sans CJK SC"/>
        <family val="2"/>
      </rPr>
      <t xml:space="preserve">가드</t>
    </r>
    <r>
      <rPr>
        <sz val="10"/>
        <color rgb="FF1B2430"/>
        <rFont val="Arial"/>
        <family val="0"/>
        <charset val="1"/>
      </rPr>
      <t xml:space="preserve">, IDOR </t>
    </r>
    <r>
      <rPr>
        <sz val="10"/>
        <color rgb="FF1B2430"/>
        <rFont val="Noto Sans CJK SC"/>
        <family val="2"/>
      </rPr>
      <t xml:space="preserve">방지</t>
    </r>
    <r>
      <rPr>
        <sz val="10"/>
        <color rgb="FF1B2430"/>
        <rFont val="Arial"/>
        <family val="0"/>
        <charset val="1"/>
      </rPr>
      <t xml:space="preserve">(404)</t>
    </r>
  </si>
  <si>
    <t xml:space="preserve">신뢰성</t>
  </si>
  <si>
    <t xml:space="preserve">데이터 지속성</t>
  </si>
  <si>
    <r>
      <rPr>
        <sz val="10"/>
        <color rgb="FF1B2430"/>
        <rFont val="Arial"/>
        <family val="0"/>
        <charset val="1"/>
      </rPr>
      <t xml:space="preserve">SQLite </t>
    </r>
    <r>
      <rPr>
        <sz val="10"/>
        <color rgb="FF1B2430"/>
        <rFont val="Noto Sans CJK SC"/>
        <family val="2"/>
      </rPr>
      <t xml:space="preserve">파일 기반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컨테이너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서버 재시작해도 유지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실서버 이관 완료</t>
    </r>
  </si>
  <si>
    <t xml:space="preserve">스키마 변경 관리</t>
  </si>
  <si>
    <r>
      <rPr>
        <sz val="10"/>
        <color rgb="FF1B2430"/>
        <rFont val="Arial"/>
        <family val="0"/>
        <charset val="1"/>
      </rPr>
      <t xml:space="preserve">Alembic </t>
    </r>
    <r>
      <rPr>
        <sz val="10"/>
        <color rgb="FF1B2430"/>
        <rFont val="Noto Sans CJK SC"/>
        <family val="2"/>
      </rPr>
      <t xml:space="preserve">마이그레이션</t>
    </r>
    <r>
      <rPr>
        <sz val="10"/>
        <color rgb="FF1B2430"/>
        <rFont val="Arial"/>
        <family val="0"/>
        <charset val="1"/>
      </rPr>
      <t xml:space="preserve">(4</t>
    </r>
    <r>
      <rPr>
        <sz val="10"/>
        <color rgb="FF1B2430"/>
        <rFont val="Noto Sans CJK SC"/>
        <family val="2"/>
      </rPr>
      <t xml:space="preserve">건 적용</t>
    </r>
    <r>
      <rPr>
        <sz val="10"/>
        <color rgb="FF1B2430"/>
        <rFont val="Arial"/>
        <family val="0"/>
        <charset val="1"/>
      </rPr>
      <t xml:space="preserve">)</t>
    </r>
  </si>
  <si>
    <t xml:space="preserve">백업</t>
  </si>
  <si>
    <r>
      <rPr>
        <sz val="10"/>
        <color rgb="FF1B2430"/>
        <rFont val="Arial"/>
        <family val="0"/>
        <charset val="1"/>
      </rPr>
      <t xml:space="preserve">backup_db.py</t>
    </r>
    <r>
      <rPr>
        <sz val="10"/>
        <color rgb="FF1B2430"/>
        <rFont val="Noto Sans CJK SC"/>
        <family val="2"/>
      </rPr>
      <t xml:space="preserve">로 로컬 수동 백업 지원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자동 스케줄은 배포 운영 범위</t>
    </r>
    <r>
      <rPr>
        <sz val="10"/>
        <color rgb="FF1B2430"/>
        <rFont val="Arial"/>
        <family val="0"/>
        <charset val="1"/>
      </rPr>
      <t xml:space="preserve">)</t>
    </r>
  </si>
  <si>
    <t xml:space="preserve">장애 격리</t>
  </si>
  <si>
    <t xml:space="preserve">전역 예외 핸들러로 미처리 예외도 서버 다운 없이 응답</t>
  </si>
  <si>
    <t xml:space="preserve">테스트 가능성</t>
  </si>
  <si>
    <r>
      <rPr>
        <sz val="10"/>
        <color rgb="FF1B2430"/>
        <rFont val="Arial"/>
        <family val="0"/>
        <charset val="1"/>
      </rPr>
      <t xml:space="preserve">pytest 52</t>
    </r>
    <r>
      <rPr>
        <sz val="10"/>
        <color rgb="FF1B2430"/>
        <rFont val="Noto Sans CJK SC"/>
        <family val="2"/>
      </rPr>
      <t xml:space="preserve">건 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인증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기록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계정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관리자</t>
    </r>
    <r>
      <rPr>
        <sz val="10"/>
        <color rgb="FF1B2430"/>
        <rFont val="Arial"/>
        <family val="0"/>
        <charset val="1"/>
      </rPr>
      <t xml:space="preserve">/AI</t>
    </r>
    <r>
      <rPr>
        <sz val="10"/>
        <color rgb="FF1B2430"/>
        <rFont val="Noto Sans CJK SC"/>
        <family val="2"/>
      </rPr>
      <t xml:space="preserve">코치</t>
    </r>
    <r>
      <rPr>
        <sz val="10"/>
        <color rgb="FF1B2430"/>
        <rFont val="Arial"/>
        <family val="0"/>
        <charset val="1"/>
      </rPr>
      <t xml:space="preserve">/Export-Import/</t>
    </r>
    <r>
      <rPr>
        <sz val="10"/>
        <color rgb="FF1B2430"/>
        <rFont val="Noto Sans CJK SC"/>
        <family val="2"/>
      </rPr>
      <t xml:space="preserve">목표</t>
    </r>
    <r>
      <rPr>
        <sz val="10"/>
        <color rgb="FF1B2430"/>
        <rFont val="Arial"/>
        <family val="0"/>
        <charset val="1"/>
      </rPr>
      <t xml:space="preserve">-</t>
    </r>
    <r>
      <rPr>
        <sz val="10"/>
        <color rgb="FF1B2430"/>
        <rFont val="Noto Sans CJK SC"/>
        <family val="2"/>
      </rPr>
      <t xml:space="preserve">리포트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비밀번호복구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푸시</t>
    </r>
    <r>
      <rPr>
        <sz val="10"/>
        <color rgb="FF1B2430"/>
        <rFont val="Arial"/>
        <family val="0"/>
        <charset val="1"/>
      </rPr>
      <t xml:space="preserve">)</t>
    </r>
  </si>
  <si>
    <r>
      <rPr>
        <sz val="10"/>
        <color rgb="FF1B2430"/>
        <rFont val="Arial"/>
        <family val="0"/>
        <charset val="1"/>
      </rPr>
      <t xml:space="preserve">GitHub Actions</t>
    </r>
    <r>
      <rPr>
        <sz val="10"/>
        <color rgb="FF1B2430"/>
        <rFont val="Noto Sans CJK SC"/>
        <family val="2"/>
      </rPr>
      <t xml:space="preserve">로 </t>
    </r>
    <r>
      <rPr>
        <sz val="10"/>
        <color rgb="FF1B2430"/>
        <rFont val="Arial"/>
        <family val="0"/>
        <charset val="1"/>
      </rPr>
      <t xml:space="preserve">push/PR</t>
    </r>
    <r>
      <rPr>
        <sz val="10"/>
        <color rgb="FF1B2430"/>
        <rFont val="Noto Sans CJK SC"/>
        <family val="2"/>
      </rPr>
      <t xml:space="preserve">마다 자동 실행</t>
    </r>
  </si>
  <si>
    <t xml:space="preserve">조회 성능</t>
  </si>
  <si>
    <r>
      <rPr>
        <sz val="10"/>
        <color rgb="FF1B2430"/>
        <rFont val="Arial"/>
        <family val="0"/>
        <charset val="1"/>
      </rPr>
      <t xml:space="preserve">(user_id,date) </t>
    </r>
    <r>
      <rPr>
        <sz val="10"/>
        <color rgb="FF1B2430"/>
        <rFont val="Noto Sans CJK SC"/>
        <family val="2"/>
      </rPr>
      <t xml:space="preserve">복합 인덱스</t>
    </r>
    <r>
      <rPr>
        <sz val="10"/>
        <color rgb="FF1B2430"/>
        <rFont val="Arial"/>
        <family val="0"/>
        <charset val="1"/>
      </rPr>
      <t xml:space="preserve">, N+1 </t>
    </r>
    <r>
      <rPr>
        <sz val="10"/>
        <color rgb="FF1B2430"/>
        <rFont val="Noto Sans CJK SC"/>
        <family val="2"/>
      </rPr>
      <t xml:space="preserve">회피 집계 쿼리</t>
    </r>
  </si>
  <si>
    <t xml:space="preserve">페이지네이션</t>
  </si>
  <si>
    <r>
      <rPr>
        <sz val="10"/>
        <color rgb="FF1B2430"/>
        <rFont val="Noto Sans CJK SC"/>
        <family val="2"/>
      </rPr>
      <t xml:space="preserve">유저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관리자 목록 전부 서버사이드 방식</t>
    </r>
  </si>
  <si>
    <t xml:space="preserve">정적 자산 캐싱</t>
  </si>
  <si>
    <r>
      <rPr>
        <sz val="10"/>
        <color rgb="FF1B2430"/>
        <rFont val="Arial"/>
        <family val="0"/>
        <charset val="1"/>
      </rPr>
      <t xml:space="preserve">Cache-Control </t>
    </r>
    <r>
      <rPr>
        <sz val="10"/>
        <color rgb="FF1B2430"/>
        <rFont val="Noto Sans CJK SC"/>
        <family val="2"/>
      </rPr>
      <t xml:space="preserve">헤더 적용</t>
    </r>
  </si>
  <si>
    <t xml:space="preserve">사용성</t>
  </si>
  <si>
    <t xml:space="preserve">반응형 디자인</t>
  </si>
  <si>
    <r>
      <rPr>
        <sz val="10"/>
        <color rgb="FF1B2430"/>
        <rFont val="Noto Sans CJK SC"/>
        <family val="2"/>
      </rPr>
      <t xml:space="preserve">데스크톱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태블릿</t>
    </r>
    <r>
      <rPr>
        <sz val="10"/>
        <color rgb="FF1B2430"/>
        <rFont val="Arial"/>
        <family val="0"/>
        <charset val="1"/>
      </rPr>
      <t xml:space="preserve">(721~1024px)/</t>
    </r>
    <r>
      <rPr>
        <sz val="10"/>
        <color rgb="FF1B2430"/>
        <rFont val="Noto Sans CJK SC"/>
        <family val="2"/>
      </rPr>
      <t xml:space="preserve">모바일</t>
    </r>
    <r>
      <rPr>
        <sz val="10"/>
        <color rgb="FF1B2430"/>
        <rFont val="Arial"/>
        <family val="0"/>
        <charset val="1"/>
      </rPr>
      <t xml:space="preserve">(~720px) 3</t>
    </r>
    <r>
      <rPr>
        <sz val="10"/>
        <color rgb="FF1B2430"/>
        <rFont val="Noto Sans CJK SC"/>
        <family val="2"/>
      </rPr>
      <t xml:space="preserve">단 대응</t>
    </r>
  </si>
  <si>
    <t xml:space="preserve">접근성</t>
  </si>
  <si>
    <t xml:space="preserve">다크모드</t>
  </si>
  <si>
    <r>
      <rPr>
        <sz val="10"/>
        <color rgb="FF1B2430"/>
        <rFont val="Noto Sans CJK SC"/>
        <family val="2"/>
      </rPr>
      <t xml:space="preserve">라이트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시스템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다크 </t>
    </r>
    <r>
      <rPr>
        <sz val="10"/>
        <color rgb="FF1B2430"/>
        <rFont val="Arial"/>
        <family val="0"/>
        <charset val="1"/>
      </rPr>
      <t xml:space="preserve">3</t>
    </r>
    <r>
      <rPr>
        <sz val="10"/>
        <color rgb="FF1B2430"/>
        <rFont val="Noto Sans CJK SC"/>
        <family val="2"/>
      </rPr>
      <t xml:space="preserve">단 토글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브랜드색과 상태색 분리</t>
    </r>
  </si>
  <si>
    <t xml:space="preserve">온보딩</t>
  </si>
  <si>
    <r>
      <rPr>
        <sz val="10"/>
        <color rgb="FF1B2430"/>
        <rFont val="Noto Sans CJK SC"/>
        <family val="2"/>
      </rPr>
      <t xml:space="preserve">가입 직후 안내 배너 </t>
    </r>
    <r>
      <rPr>
        <sz val="10"/>
        <color rgb="FF1B2430"/>
        <rFont val="Arial"/>
        <family val="0"/>
        <charset val="1"/>
      </rPr>
      <t xml:space="preserve">+ </t>
    </r>
    <r>
      <rPr>
        <sz val="10"/>
        <color rgb="FF1B2430"/>
        <rFont val="Noto Sans CJK SC"/>
        <family val="2"/>
      </rPr>
      <t xml:space="preserve">예시 값 채우기</t>
    </r>
  </si>
  <si>
    <r>
      <rPr>
        <sz val="10"/>
        <color rgb="FF1B2430"/>
        <rFont val="Noto Sans CJK SC"/>
        <family val="2"/>
      </rPr>
      <t xml:space="preserve">개인정보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컴플라이언스</t>
    </r>
  </si>
  <si>
    <r>
      <rPr>
        <sz val="10"/>
        <color rgb="FF1B2430"/>
        <rFont val="Arial"/>
        <family val="0"/>
        <charset val="1"/>
      </rPr>
      <t xml:space="preserve">AI </t>
    </r>
    <r>
      <rPr>
        <sz val="10"/>
        <color rgb="FF1B2430"/>
        <rFont val="Noto Sans CJK SC"/>
        <family val="2"/>
      </rPr>
      <t xml:space="preserve">코칭 데이터 전송 고지</t>
    </r>
  </si>
  <si>
    <r>
      <rPr>
        <sz val="10"/>
        <color rgb="FF1B2430"/>
        <rFont val="Noto Sans CJK SC"/>
        <family val="2"/>
      </rPr>
      <t xml:space="preserve">건강 지표가 외부 </t>
    </r>
    <r>
      <rPr>
        <sz val="10"/>
        <color rgb="FF1B2430"/>
        <rFont val="Arial"/>
        <family val="0"/>
        <charset val="1"/>
      </rPr>
      <t xml:space="preserve">LLM API</t>
    </r>
    <r>
      <rPr>
        <sz val="10"/>
        <color rgb="FF1B2430"/>
        <rFont val="Noto Sans CJK SC"/>
        <family val="2"/>
      </rPr>
      <t xml:space="preserve">로 전송됨을 사용자에게 고지</t>
    </r>
  </si>
  <si>
    <t xml:space="preserve">운영</t>
  </si>
  <si>
    <t xml:space="preserve">감사 추적</t>
  </si>
  <si>
    <r>
      <rPr>
        <sz val="10"/>
        <color rgb="FF1B2430"/>
        <rFont val="Noto Sans CJK SC"/>
        <family val="2"/>
      </rPr>
      <t xml:space="preserve">계정 삭제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강제로그아웃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비밀번호 강제재설정이 감사 로그로 기록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비밀번호 값 자체는 미기록</t>
    </r>
    <r>
      <rPr>
        <sz val="10"/>
        <color rgb="FF1B2430"/>
        <rFont val="Arial"/>
        <family val="0"/>
        <charset val="1"/>
      </rPr>
      <t xml:space="preserve">)</t>
    </r>
  </si>
  <si>
    <t xml:space="preserve">배포</t>
  </si>
  <si>
    <r>
      <rPr>
        <sz val="10"/>
        <color rgb="FF1B2430"/>
        <rFont val="Arial"/>
        <family val="0"/>
        <charset val="1"/>
      </rPr>
      <t xml:space="preserve">AWS Lightsail + nginx + Docker, HTTPS </t>
    </r>
    <r>
      <rPr>
        <sz val="10"/>
        <color rgb="FF1B2430"/>
        <rFont val="Noto Sans CJK SC"/>
        <family val="2"/>
      </rPr>
      <t xml:space="preserve">적용</t>
    </r>
  </si>
  <si>
    <t xml:space="preserve">항목</t>
  </si>
  <si>
    <r>
      <rPr>
        <b val="true"/>
        <sz val="10"/>
        <color rgb="FFFFFFFF"/>
        <rFont val="Noto Sans CJK SC"/>
        <family val="2"/>
      </rPr>
      <t xml:space="preserve">제외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보류 사유</t>
    </r>
  </si>
  <si>
    <r>
      <rPr>
        <sz val="10"/>
        <color rgb="FF1B2430"/>
        <rFont val="Noto Sans CJK SC"/>
        <family val="2"/>
      </rPr>
      <t xml:space="preserve">웨어러블 실 연동 </t>
    </r>
    <r>
      <rPr>
        <sz val="10"/>
        <color rgb="FF1B2430"/>
        <rFont val="Arial"/>
        <family val="0"/>
        <charset val="1"/>
      </rPr>
      <t xml:space="preserve">(Apple Health/Google Fit </t>
    </r>
    <r>
      <rPr>
        <sz val="10"/>
        <color rgb="FF1B2430"/>
        <rFont val="Noto Sans CJK SC"/>
        <family val="2"/>
      </rPr>
      <t xml:space="preserve">실제 </t>
    </r>
    <r>
      <rPr>
        <sz val="10"/>
        <color rgb="FF1B2430"/>
        <rFont val="Arial"/>
        <family val="0"/>
        <charset val="1"/>
      </rPr>
      <t xml:space="preserve">API)</t>
    </r>
  </si>
  <si>
    <t xml:space="preserve">Not Planned (Backlog)</t>
  </si>
  <si>
    <r>
      <rPr>
        <sz val="10"/>
        <color rgb="FF1B2430"/>
        <rFont val="Noto Sans CJK SC"/>
        <family val="2"/>
      </rPr>
      <t xml:space="preserve">인터페이스만 준비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실제 외부 </t>
    </r>
    <r>
      <rPr>
        <sz val="10"/>
        <color rgb="FF1B2430"/>
        <rFont val="Arial"/>
        <family val="0"/>
        <charset val="1"/>
      </rPr>
      <t xml:space="preserve">API </t>
    </r>
    <r>
      <rPr>
        <sz val="10"/>
        <color rgb="FF1B2430"/>
        <rFont val="Noto Sans CJK SC"/>
        <family val="2"/>
      </rPr>
      <t xml:space="preserve">계약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인증 미착수</t>
    </r>
  </si>
  <si>
    <r>
      <rPr>
        <sz val="10"/>
        <color rgb="FF1B2430"/>
        <rFont val="Noto Sans CJK SC"/>
        <family val="2"/>
      </rPr>
      <t xml:space="preserve">건강검진 </t>
    </r>
    <r>
      <rPr>
        <sz val="10"/>
        <color rgb="FF1B2430"/>
        <rFont val="Arial"/>
        <family val="0"/>
        <charset val="1"/>
      </rPr>
      <t xml:space="preserve">PDF </t>
    </r>
    <r>
      <rPr>
        <sz val="10"/>
        <color rgb="FF1B2430"/>
        <rFont val="Noto Sans CJK SC"/>
        <family val="2"/>
      </rPr>
      <t xml:space="preserve">실제 파싱</t>
    </r>
    <r>
      <rPr>
        <sz val="10"/>
        <color rgb="FF1B2430"/>
        <rFont val="Arial"/>
        <family val="0"/>
        <charset val="1"/>
      </rPr>
      <t xml:space="preserve">(OCR)</t>
    </r>
  </si>
  <si>
    <r>
      <rPr>
        <sz val="10"/>
        <color rgb="FF1B2430"/>
        <rFont val="Noto Sans CJK SC"/>
        <family val="2"/>
      </rPr>
      <t xml:space="preserve">현재 </t>
    </r>
    <r>
      <rPr>
        <sz val="10"/>
        <color rgb="FF1B2430"/>
        <rFont val="Arial"/>
        <family val="0"/>
        <charset val="1"/>
      </rPr>
      <t xml:space="preserve">Mock </t>
    </r>
    <r>
      <rPr>
        <sz val="10"/>
        <color rgb="FF1B2430"/>
        <rFont val="Noto Sans CJK SC"/>
        <family val="2"/>
      </rPr>
      <t xml:space="preserve">구현만 존재</t>
    </r>
  </si>
  <si>
    <t xml:space="preserve">리마인더 자동 스케줄링</t>
  </si>
  <si>
    <r>
      <rPr>
        <sz val="10"/>
        <color rgb="FF1B2430"/>
        <rFont val="Noto Sans CJK SC"/>
        <family val="2"/>
      </rPr>
      <t xml:space="preserve">배경 스케줄러</t>
    </r>
    <r>
      <rPr>
        <sz val="10"/>
        <color rgb="FF1B2430"/>
        <rFont val="Arial"/>
        <family val="0"/>
        <charset val="1"/>
      </rPr>
      <t xml:space="preserve">(Celery/APScheduler) </t>
    </r>
    <r>
      <rPr>
        <sz val="10"/>
        <color rgb="FF1B2430"/>
        <rFont val="Noto Sans CJK SC"/>
        <family val="2"/>
      </rPr>
      <t xml:space="preserve">미도입 방침 — 배포 환경에서 </t>
    </r>
    <r>
      <rPr>
        <sz val="10"/>
        <color rgb="FF1B2430"/>
        <rFont val="Arial"/>
        <family val="0"/>
        <charset val="1"/>
      </rPr>
      <t xml:space="preserve">cron</t>
    </r>
    <r>
      <rPr>
        <sz val="10"/>
        <color rgb="FF1B2430"/>
        <rFont val="Noto Sans CJK SC"/>
        <family val="2"/>
      </rPr>
      <t xml:space="preserve">으로 </t>
    </r>
    <r>
      <rPr>
        <sz val="10"/>
        <color rgb="FF1B2430"/>
        <rFont val="Arial"/>
        <family val="0"/>
        <charset val="1"/>
      </rPr>
      <t xml:space="preserve">POST /push/send-reminder </t>
    </r>
    <r>
      <rPr>
        <sz val="10"/>
        <color rgb="FF1B2430"/>
        <rFont val="Noto Sans CJK SC"/>
        <family val="2"/>
      </rPr>
      <t xml:space="preserve">호출 시 자동화 가능하나 그 등록 자체는 범위 밖</t>
    </r>
  </si>
  <si>
    <t xml:space="preserve">사용자 행동 감사 로그 확장</t>
  </si>
  <si>
    <t xml:space="preserve">현재는 관리자 조치만 기록</t>
  </si>
  <si>
    <r>
      <rPr>
        <sz val="10"/>
        <color rgb="FF1B2430"/>
        <rFont val="Noto Sans CJK SC"/>
        <family val="2"/>
      </rPr>
      <t xml:space="preserve">다국어</t>
    </r>
    <r>
      <rPr>
        <sz val="10"/>
        <color rgb="FF1B2430"/>
        <rFont val="Arial"/>
        <family val="0"/>
        <charset val="1"/>
      </rPr>
      <t xml:space="preserve">(i18n)</t>
    </r>
  </si>
  <si>
    <t xml:space="preserve">전체 한국어 하드코딩</t>
  </si>
  <si>
    <r>
      <rPr>
        <sz val="10"/>
        <color rgb="FF1B2430"/>
        <rFont val="Noto Sans CJK SC"/>
        <family val="2"/>
      </rPr>
      <t xml:space="preserve">실제 의학적 진단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처방</t>
    </r>
  </si>
  <si>
    <t xml:space="preserve">Out of Scope (Permanent)</t>
  </si>
  <si>
    <r>
      <rPr>
        <sz val="10"/>
        <color rgb="FF1B2430"/>
        <rFont val="Noto Sans CJK SC"/>
        <family val="2"/>
      </rPr>
      <t xml:space="preserve">학습용 단순화 기준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의료 서비스 아님</t>
    </r>
  </si>
  <si>
    <r>
      <rPr>
        <sz val="10"/>
        <color rgb="FF1B2430"/>
        <rFont val="Noto Sans CJK SC"/>
        <family val="2"/>
      </rPr>
      <t xml:space="preserve">결제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구독</t>
    </r>
  </si>
  <si>
    <t xml:space="preserve">제품 방향에 없음</t>
  </si>
  <si>
    <r>
      <rPr>
        <sz val="10"/>
        <color rgb="FF1B2430"/>
        <rFont val="Noto Sans CJK SC"/>
        <family val="2"/>
      </rPr>
      <t xml:space="preserve">소셜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공유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팔로우 기능</t>
    </r>
  </si>
  <si>
    <r>
      <rPr>
        <sz val="10"/>
        <color rgb="FF1B2430"/>
        <rFont val="Arial"/>
        <family val="0"/>
        <charset val="1"/>
      </rPr>
      <t xml:space="preserve">API </t>
    </r>
    <r>
      <rPr>
        <sz val="10"/>
        <color rgb="FF1B2430"/>
        <rFont val="Noto Sans CJK SC"/>
        <family val="2"/>
      </rPr>
      <t xml:space="preserve">버전 관리</t>
    </r>
    <r>
      <rPr>
        <sz val="10"/>
        <color rgb="FF1B2430"/>
        <rFont val="Arial"/>
        <family val="0"/>
        <charset val="1"/>
      </rPr>
      <t xml:space="preserve">(/v1 </t>
    </r>
    <r>
      <rPr>
        <sz val="10"/>
        <color rgb="FF1B2430"/>
        <rFont val="Noto Sans CJK SC"/>
        <family val="2"/>
      </rPr>
      <t xml:space="preserve">등</t>
    </r>
    <r>
      <rPr>
        <sz val="10"/>
        <color rgb="FF1B2430"/>
        <rFont val="Arial"/>
        <family val="0"/>
        <charset val="1"/>
      </rPr>
      <t xml:space="preserve">)</t>
    </r>
  </si>
  <si>
    <r>
      <rPr>
        <sz val="10"/>
        <color rgb="FF1B2430"/>
        <rFont val="Noto Sans CJK SC"/>
        <family val="2"/>
      </rPr>
      <t xml:space="preserve">현재 단일 클라이언트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자체 프론트</t>
    </r>
    <r>
      <rPr>
        <sz val="10"/>
        <color rgb="FF1B2430"/>
        <rFont val="Arial"/>
        <family val="0"/>
        <charset val="1"/>
      </rPr>
      <t xml:space="preserve">)</t>
    </r>
    <r>
      <rPr>
        <sz val="10"/>
        <color rgb="FF1B2430"/>
        <rFont val="Noto Sans CJK SC"/>
        <family val="2"/>
      </rPr>
      <t xml:space="preserve">만 사용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외부 공개 시 재검토</t>
    </r>
  </si>
  <si>
    <t xml:space="preserve">모바일 네이티브 앱</t>
  </si>
  <si>
    <t xml:space="preserve">웹 전용으로 운영 중</t>
  </si>
  <si>
    <t xml:space="preserve">내용</t>
  </si>
  <si>
    <r>
      <rPr>
        <b val="true"/>
        <sz val="10"/>
        <color rgb="FFFFFFFF"/>
        <rFont val="Noto Sans CJK SC"/>
        <family val="2"/>
      </rPr>
      <t xml:space="preserve">영향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대응</t>
    </r>
  </si>
  <si>
    <t xml:space="preserve">리스크</t>
  </si>
  <si>
    <r>
      <rPr>
        <sz val="10"/>
        <color rgb="FF1B2430"/>
        <rFont val="Arial"/>
        <family val="0"/>
        <charset val="1"/>
      </rPr>
      <t xml:space="preserve">Rate limiter</t>
    </r>
    <r>
      <rPr>
        <sz val="10"/>
        <color rgb="FF1B2430"/>
        <rFont val="Noto Sans CJK SC"/>
        <family val="2"/>
      </rPr>
      <t xml:space="preserve">가 인메모리 구현이라 멀티 워커 환경에서 무력화됨</t>
    </r>
  </si>
  <si>
    <r>
      <rPr>
        <sz val="10"/>
        <color rgb="FF1B2430"/>
        <rFont val="Noto Sans CJK SC"/>
        <family val="2"/>
      </rPr>
      <t xml:space="preserve">단일 워커 운영 전제로 문서화</t>
    </r>
    <r>
      <rPr>
        <sz val="10"/>
        <color rgb="FF1B2430"/>
        <rFont val="Arial"/>
        <family val="0"/>
        <charset val="1"/>
      </rPr>
      <t xml:space="preserve">. </t>
    </r>
    <r>
      <rPr>
        <sz val="10"/>
        <color rgb="FF1B2430"/>
        <rFont val="Noto Sans CJK SC"/>
        <family val="2"/>
      </rPr>
      <t xml:space="preserve">워커 확장 시 </t>
    </r>
    <r>
      <rPr>
        <sz val="10"/>
        <color rgb="FF1B2430"/>
        <rFont val="Arial"/>
        <family val="0"/>
        <charset val="1"/>
      </rPr>
      <t xml:space="preserve">Redis </t>
    </r>
    <r>
      <rPr>
        <sz val="10"/>
        <color rgb="FF1B2430"/>
        <rFont val="Noto Sans CJK SC"/>
        <family val="2"/>
      </rPr>
      <t xml:space="preserve">등으로 전환 필요</t>
    </r>
  </si>
  <si>
    <t xml:space="preserve">보안질문 기반 비밀번호 찾기는 이메일 인증보다 구조적으로 약함</t>
  </si>
  <si>
    <r>
      <rPr>
        <sz val="10"/>
        <color rgb="FF1B2430"/>
        <rFont val="Arial"/>
        <family val="0"/>
        <charset val="1"/>
      </rPr>
      <t xml:space="preserve">rate limit</t>
    </r>
    <r>
      <rPr>
        <sz val="10"/>
        <color rgb="FF1B2430"/>
        <rFont val="Noto Sans CJK SC"/>
        <family val="2"/>
      </rPr>
      <t xml:space="preserve">로 완화 </t>
    </r>
    <r>
      <rPr>
        <sz val="10"/>
        <color rgb="FF1B2430"/>
        <rFont val="Arial"/>
        <family val="0"/>
        <charset val="1"/>
      </rPr>
      <t xml:space="preserve">+ </t>
    </r>
    <r>
      <rPr>
        <sz val="10"/>
        <color rgb="FF1B2430"/>
        <rFont val="Noto Sans CJK SC"/>
        <family val="2"/>
      </rPr>
      <t xml:space="preserve">관리자 강제 재설정</t>
    </r>
    <r>
      <rPr>
        <sz val="10"/>
        <color rgb="FF1B2430"/>
        <rFont val="Arial"/>
        <family val="0"/>
        <charset val="1"/>
      </rPr>
      <t xml:space="preserve">(POST /admin/users/{id}/reset-password)</t>
    </r>
    <r>
      <rPr>
        <sz val="10"/>
        <color rgb="FF1B2430"/>
        <rFont val="Noto Sans CJK SC"/>
        <family val="2"/>
      </rPr>
      <t xml:space="preserve">으로 복구 불가 시나리오 보완됨</t>
    </r>
  </si>
  <si>
    <r>
      <rPr>
        <sz val="10"/>
        <color rgb="FF1B2430"/>
        <rFont val="Arial"/>
        <family val="0"/>
        <charset val="1"/>
      </rPr>
      <t xml:space="preserve">LLM API </t>
    </r>
    <r>
      <rPr>
        <sz val="10"/>
        <color rgb="FF1B2430"/>
        <rFont val="Noto Sans CJK SC"/>
        <family val="2"/>
      </rPr>
      <t xml:space="preserve">의존성 </t>
    </r>
    <r>
      <rPr>
        <sz val="10"/>
        <color rgb="FF1B2430"/>
        <rFont val="Arial"/>
        <family val="0"/>
        <charset val="1"/>
      </rPr>
      <t xml:space="preserve">(OpenAI </t>
    </r>
    <r>
      <rPr>
        <sz val="10"/>
        <color rgb="FF1B2430"/>
        <rFont val="Noto Sans CJK SC"/>
        <family val="2"/>
      </rPr>
      <t xml:space="preserve">장애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비용 급증</t>
    </r>
    <r>
      <rPr>
        <sz val="10"/>
        <color rgb="FF1B2430"/>
        <rFont val="Arial"/>
        <family val="0"/>
        <charset val="1"/>
      </rPr>
      <t xml:space="preserve">)</t>
    </r>
  </si>
  <si>
    <r>
      <rPr>
        <sz val="10"/>
        <color rgb="FF1B2430"/>
        <rFont val="Noto Sans CJK SC"/>
        <family val="2"/>
      </rPr>
      <t xml:space="preserve">규칙 기반 폴백으로 완전 중단은 방지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코칭 품질 저하는 가능</t>
    </r>
  </si>
  <si>
    <r>
      <rPr>
        <sz val="10"/>
        <color rgb="FF1B2430"/>
        <rFont val="Noto Sans CJK SC"/>
        <family val="2"/>
      </rPr>
      <t xml:space="preserve">배포 인스턴스가 최소 사양</t>
    </r>
    <r>
      <rPr>
        <sz val="10"/>
        <color rgb="FF1B2430"/>
        <rFont val="Arial"/>
        <family val="0"/>
        <charset val="1"/>
      </rPr>
      <t xml:space="preserve">(416Mi RAM)</t>
    </r>
  </si>
  <si>
    <r>
      <rPr>
        <sz val="10"/>
        <color rgb="FF1B2430"/>
        <rFont val="Noto Sans CJK SC"/>
        <family val="2"/>
      </rPr>
      <t xml:space="preserve">트래픽 증가 시 </t>
    </r>
    <r>
      <rPr>
        <sz val="10"/>
        <color rgb="FF1B2430"/>
        <rFont val="Arial"/>
        <family val="0"/>
        <charset val="1"/>
      </rPr>
      <t xml:space="preserve">Lightsail </t>
    </r>
    <r>
      <rPr>
        <sz val="10"/>
        <color rgb="FF1B2430"/>
        <rFont val="Noto Sans CJK SC"/>
        <family val="2"/>
      </rPr>
      <t xml:space="preserve">플랜 업그레이드 필요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서버 직접 빌드 시 </t>
    </r>
    <r>
      <rPr>
        <sz val="10"/>
        <color rgb="FF1B2430"/>
        <rFont val="Arial"/>
        <family val="0"/>
        <charset val="1"/>
      </rPr>
      <t xml:space="preserve">OOM </t>
    </r>
    <r>
      <rPr>
        <sz val="10"/>
        <color rgb="FF1B2430"/>
        <rFont val="Noto Sans CJK SC"/>
        <family val="2"/>
      </rPr>
      <t xml:space="preserve">발생 이력 있어 로컬 빌드 후 이미지 전달 방식 채택</t>
    </r>
  </si>
  <si>
    <r>
      <rPr>
        <sz val="10"/>
        <color rgb="FF1B2430"/>
        <rFont val="Noto Sans CJK SC"/>
        <family val="2"/>
      </rPr>
      <t xml:space="preserve">해결됨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참고</t>
    </r>
    <r>
      <rPr>
        <sz val="10"/>
        <color rgb="FF1B2430"/>
        <rFont val="Arial"/>
        <family val="0"/>
        <charset val="1"/>
      </rPr>
      <t xml:space="preserve">)</t>
    </r>
  </si>
  <si>
    <r>
      <rPr>
        <sz val="10"/>
        <color rgb="FF1B2430"/>
        <rFont val="Noto Sans CJK SC"/>
        <family val="2"/>
      </rPr>
      <t xml:space="preserve">배포 과정 중 </t>
    </r>
    <r>
      <rPr>
        <sz val="10"/>
        <color rgb="FF1B2430"/>
        <rFont val="Arial"/>
        <family val="0"/>
        <charset val="1"/>
      </rPr>
      <t xml:space="preserve">.dockerignore </t>
    </r>
    <r>
      <rPr>
        <sz val="10"/>
        <color rgb="FF1B2430"/>
        <rFont val="Noto Sans CJK SC"/>
        <family val="2"/>
      </rPr>
      <t xml:space="preserve">버그로 </t>
    </r>
    <r>
      <rPr>
        <sz val="10"/>
        <color rgb="FF1B2430"/>
        <rFont val="Arial"/>
        <family val="0"/>
        <charset val="1"/>
      </rPr>
      <t xml:space="preserve">OpenAI API </t>
    </r>
    <r>
      <rPr>
        <sz val="10"/>
        <color rgb="FF1B2430"/>
        <rFont val="Noto Sans CJK SC"/>
        <family val="2"/>
      </rPr>
      <t xml:space="preserve">키가 이미지에 잠깐 포함됐던 이력</t>
    </r>
  </si>
  <si>
    <r>
      <rPr>
        <sz val="10"/>
        <color rgb="FF1B2430"/>
        <rFont val="Noto Sans CJK SC"/>
        <family val="2"/>
      </rPr>
      <t xml:space="preserve">버그 수정 완료</t>
    </r>
    <r>
      <rPr>
        <sz val="10"/>
        <color rgb="FF1B2430"/>
        <rFont val="Arial"/>
        <family val="0"/>
        <charset val="1"/>
      </rPr>
      <t xml:space="preserve">(</t>
    </r>
    <r>
      <rPr>
        <sz val="10"/>
        <color rgb="FF1B2430"/>
        <rFont val="Noto Sans CJK SC"/>
        <family val="2"/>
      </rPr>
      <t xml:space="preserve">이중 패턴 적용</t>
    </r>
    <r>
      <rPr>
        <sz val="10"/>
        <color rgb="FF1B2430"/>
        <rFont val="Arial"/>
        <family val="0"/>
        <charset val="1"/>
      </rPr>
      <t xml:space="preserve">), </t>
    </r>
    <r>
      <rPr>
        <sz val="10"/>
        <color rgb="FF1B2430"/>
        <rFont val="Noto Sans CJK SC"/>
        <family val="2"/>
      </rPr>
      <t xml:space="preserve">유출 이미지 즉시 삭제</t>
    </r>
    <r>
      <rPr>
        <sz val="10"/>
        <color rgb="FF1B2430"/>
        <rFont val="Arial"/>
        <family val="0"/>
        <charset val="1"/>
      </rPr>
      <t xml:space="preserve">. git </t>
    </r>
    <r>
      <rPr>
        <sz val="10"/>
        <color rgb="FF1B2430"/>
        <rFont val="Noto Sans CJK SC"/>
        <family val="2"/>
      </rPr>
      <t xml:space="preserve">히스토리엔 </t>
    </r>
    <r>
      <rPr>
        <sz val="10"/>
        <color rgb="FF1B2430"/>
        <rFont val="Arial"/>
        <family val="0"/>
        <charset val="1"/>
      </rPr>
      <t xml:space="preserve">.env </t>
    </r>
    <r>
      <rPr>
        <sz val="10"/>
        <color rgb="FF1B2430"/>
        <rFont val="Noto Sans CJK SC"/>
        <family val="2"/>
      </rPr>
      <t xml:space="preserve">커밋 이력 없음 확인</t>
    </r>
    <r>
      <rPr>
        <sz val="10"/>
        <color rgb="FF1B2430"/>
        <rFont val="Arial"/>
        <family val="0"/>
        <charset val="1"/>
      </rPr>
      <t xml:space="preserve">. **</t>
    </r>
    <r>
      <rPr>
        <sz val="10"/>
        <color rgb="FF1B2430"/>
        <rFont val="Noto Sans CJK SC"/>
        <family val="2"/>
      </rPr>
      <t xml:space="preserve">키 자체의 로테이션 여부는 운영 주체가 별도 확인 필요</t>
    </r>
    <r>
      <rPr>
        <sz val="10"/>
        <color rgb="FF1B2430"/>
        <rFont val="Arial"/>
        <family val="0"/>
        <charset val="1"/>
      </rPr>
      <t xml:space="preserve">**</t>
    </r>
  </si>
  <si>
    <t xml:space="preserve">해결 필요</t>
  </si>
  <si>
    <r>
      <rPr>
        <sz val="10"/>
        <color rgb="FF1B2430"/>
        <rFont val="Noto Sans CJK SC"/>
        <family val="2"/>
      </rPr>
      <t xml:space="preserve">시드 데모 계정 비밀번호</t>
    </r>
    <r>
      <rPr>
        <sz val="10"/>
        <color rgb="FF1B2430"/>
        <rFont val="Arial"/>
        <family val="0"/>
        <charset val="1"/>
      </rPr>
      <t xml:space="preserve">(demo1234 </t>
    </r>
    <r>
      <rPr>
        <sz val="10"/>
        <color rgb="FF1B2430"/>
        <rFont val="Noto Sans CJK SC"/>
        <family val="2"/>
      </rPr>
      <t xml:space="preserve">등</t>
    </r>
    <r>
      <rPr>
        <sz val="10"/>
        <color rgb="FF1B2430"/>
        <rFont val="Arial"/>
        <family val="0"/>
        <charset val="1"/>
      </rPr>
      <t xml:space="preserve">)</t>
    </r>
    <r>
      <rPr>
        <sz val="10"/>
        <color rgb="FF1B2430"/>
        <rFont val="Noto Sans CJK SC"/>
        <family val="2"/>
      </rPr>
      <t xml:space="preserve">가 공개 저장소 코드에 노출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해당 계정이 실서버에도 이관되어 있음</t>
    </r>
  </si>
  <si>
    <r>
      <rPr>
        <sz val="10"/>
        <color rgb="FF1B2430"/>
        <rFont val="Noto Sans CJK SC"/>
        <family val="2"/>
      </rPr>
      <t xml:space="preserve">제출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공개 전 데모 계정 비밀번호 재설정 또는 삭제 권장</t>
    </r>
  </si>
  <si>
    <t xml:space="preserve">가정</t>
  </si>
  <si>
    <r>
      <rPr>
        <sz val="10"/>
        <color rgb="FF1B2430"/>
        <rFont val="Noto Sans CJK SC"/>
        <family val="2"/>
      </rPr>
      <t xml:space="preserve">단일 서버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단일 워커로 당분간 운영한다고 가정</t>
    </r>
  </si>
  <si>
    <r>
      <rPr>
        <sz val="10"/>
        <color rgb="FF1B2430"/>
        <rFont val="Noto Sans CJK SC"/>
        <family val="2"/>
      </rPr>
      <t xml:space="preserve">규모 확장 시 인프라 재설계</t>
    </r>
    <r>
      <rPr>
        <sz val="10"/>
        <color rgb="FF1B2430"/>
        <rFont val="Arial"/>
        <family val="0"/>
        <charset val="1"/>
      </rPr>
      <t xml:space="preserve">(Rate limiter, DB </t>
    </r>
    <r>
      <rPr>
        <sz val="10"/>
        <color rgb="FF1B2430"/>
        <rFont val="Noto Sans CJK SC"/>
        <family val="2"/>
      </rPr>
      <t xml:space="preserve">등</t>
    </r>
    <r>
      <rPr>
        <sz val="10"/>
        <color rgb="FF1B2430"/>
        <rFont val="Arial"/>
        <family val="0"/>
        <charset val="1"/>
      </rPr>
      <t xml:space="preserve">) </t>
    </r>
    <r>
      <rPr>
        <sz val="10"/>
        <color rgb="FF1B2430"/>
        <rFont val="Noto Sans CJK SC"/>
        <family val="2"/>
      </rPr>
      <t xml:space="preserve">필요</t>
    </r>
  </si>
  <si>
    <r>
      <rPr>
        <sz val="10"/>
        <color rgb="FF1B2430"/>
        <rFont val="Noto Sans CJK SC"/>
        <family val="2"/>
      </rPr>
      <t xml:space="preserve">이메일</t>
    </r>
    <r>
      <rPr>
        <sz val="10"/>
        <color rgb="FF1B2430"/>
        <rFont val="Arial"/>
        <family val="0"/>
        <charset val="1"/>
      </rPr>
      <t xml:space="preserve">/SMS </t>
    </r>
    <r>
      <rPr>
        <sz val="10"/>
        <color rgb="FF1B2430"/>
        <rFont val="Noto Sans CJK SC"/>
        <family val="2"/>
      </rPr>
      <t xml:space="preserve">발송 인프라를 도입하지 않는다고 가정</t>
    </r>
  </si>
  <si>
    <r>
      <rPr>
        <sz val="10"/>
        <color rgb="FF1B2430"/>
        <rFont val="Noto Sans CJK SC"/>
        <family val="2"/>
      </rPr>
      <t xml:space="preserve">비밀번호 찾기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알림 기능이 이 가정에 의존적으로 설계됨</t>
    </r>
  </si>
  <si>
    <t xml:space="preserve">건강 수치 분류 기준은 학습용 단순화 기준으로 유지</t>
  </si>
  <si>
    <t xml:space="preserve">실제 의료 서비스 전환 시 기준 전면 재검토 필요</t>
  </si>
  <si>
    <t xml:space="preserve">공개 질문</t>
  </si>
  <si>
    <r>
      <rPr>
        <sz val="10"/>
        <color rgb="FF1B2430"/>
        <rFont val="Noto Sans CJK SC"/>
        <family val="2"/>
      </rPr>
      <t xml:space="preserve">리마인더 자동 발송을 도입할지</t>
    </r>
    <r>
      <rPr>
        <sz val="10"/>
        <color rgb="FF1B2430"/>
        <rFont val="Arial"/>
        <family val="0"/>
        <charset val="1"/>
      </rPr>
      <t xml:space="preserve">, </t>
    </r>
    <r>
      <rPr>
        <sz val="10"/>
        <color rgb="FF1B2430"/>
        <rFont val="Noto Sans CJK SC"/>
        <family val="2"/>
      </rPr>
      <t xml:space="preserve">도입한다면 어떤 스케줄러를 쓸지</t>
    </r>
  </si>
  <si>
    <t xml:space="preserve">현재는 관리자 수동 트리거만 지원</t>
  </si>
  <si>
    <r>
      <rPr>
        <sz val="10"/>
        <color rgb="FF1B2430"/>
        <rFont val="Noto Sans CJK SC"/>
        <family val="2"/>
      </rPr>
      <t xml:space="preserve">감사 로그</t>
    </r>
    <r>
      <rPr>
        <sz val="10"/>
        <color rgb="FF1B2430"/>
        <rFont val="Arial"/>
        <family val="0"/>
        <charset val="1"/>
      </rPr>
      <t xml:space="preserve">·</t>
    </r>
    <r>
      <rPr>
        <sz val="10"/>
        <color rgb="FF1B2430"/>
        <rFont val="Noto Sans CJK SC"/>
        <family val="2"/>
      </rPr>
      <t xml:space="preserve">사용자 데이터의 보존 기간 정책</t>
    </r>
  </si>
  <si>
    <r>
      <rPr>
        <sz val="10"/>
        <color rgb="FF1B2430"/>
        <rFont val="Noto Sans CJK SC"/>
        <family val="2"/>
      </rPr>
      <t xml:space="preserve">현재 별도 보존</t>
    </r>
    <r>
      <rPr>
        <sz val="10"/>
        <color rgb="FF1B2430"/>
        <rFont val="Arial"/>
        <family val="0"/>
        <charset val="1"/>
      </rPr>
      <t xml:space="preserve">/</t>
    </r>
    <r>
      <rPr>
        <sz val="10"/>
        <color rgb="FF1B2430"/>
        <rFont val="Noto Sans CJK SC"/>
        <family val="2"/>
      </rPr>
      <t xml:space="preserve">삭제 정책 없음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</si>
</sst>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Noto Sans CJK SC"/>
      <family val="2"/>
    </font>
    <font>
      <b val="true"/>
      <sz val="20"/>
      <color rgb="FFFFFFFF"/>
      <name val="Arial"/>
      <family val="0"/>
      <charset val="1"/>
    </font>
    <font>
      <sz val="12"/>
      <color rgb="FFFFFFFF"/>
      <name val="Noto Sans CJK SC"/>
      <family val="2"/>
    </font>
    <font>
      <sz val="12"/>
      <color rgb="FFFFFFFF"/>
      <name val="Arial"/>
      <family val="0"/>
      <charset val="1"/>
    </font>
    <font>
      <b val="true"/>
      <sz val="13"/>
      <color rgb="FF1F3D33"/>
      <name val="Noto Sans CJK SC"/>
      <family val="2"/>
    </font>
    <font>
      <b val="true"/>
      <sz val="10"/>
      <color rgb="FF4A4A4A"/>
      <name val="Noto Sans CJK SC"/>
      <family val="2"/>
    </font>
    <font>
      <sz val="10"/>
      <color rgb="FF1B2430"/>
      <name val="Arial"/>
      <family val="0"/>
      <charset val="1"/>
    </font>
    <font>
      <sz val="10"/>
      <color rgb="FF1B2430"/>
      <name val="Noto Sans CJK SC"/>
      <family val="2"/>
    </font>
    <font>
      <b val="true"/>
      <sz val="10"/>
      <color rgb="FF4A4A4A"/>
      <name val="Arial"/>
      <family val="0"/>
      <charset val="1"/>
    </font>
    <font>
      <b val="true"/>
      <sz val="13"/>
      <color rgb="FF1F3D33"/>
      <name val="Arial"/>
      <family val="0"/>
      <charset val="1"/>
    </font>
    <font>
      <b val="true"/>
      <sz val="11"/>
      <color rgb="FF0D9488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9488"/>
        <bgColor rgb="FF008080"/>
      </patternFill>
    </fill>
    <fill>
      <patternFill patternType="solid">
        <fgColor rgb="FFF6F8F7"/>
        <bgColor rgb="FFFFFFFF"/>
      </patternFill>
    </fill>
    <fill>
      <patternFill patternType="solid">
        <fgColor rgb="FFFBE2E1"/>
        <bgColor rgb="FFFCEED2"/>
      </patternFill>
    </fill>
    <fill>
      <patternFill patternType="solid">
        <fgColor rgb="FFFCEED2"/>
        <bgColor rgb="FFFBE2E1"/>
      </patternFill>
    </fill>
    <fill>
      <patternFill patternType="solid">
        <fgColor rgb="FFE6F7F7"/>
        <bgColor rgb="FFDDF7E6"/>
      </patternFill>
    </fill>
    <fill>
      <patternFill patternType="solid">
        <fgColor rgb="FFDDF7E6"/>
        <bgColor rgb="FFE6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E6E3"/>
      </left>
      <right style="thin">
        <color rgb="FFDEE6E3"/>
      </right>
      <top style="thin">
        <color rgb="FFDEE6E3"/>
      </top>
      <bottom style="thin">
        <color rgb="FFDEE6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D9488"/>
          <bgColor rgb="FF000000"/>
        </patternFill>
      </fill>
    </dxf>
    <dxf>
      <fill>
        <patternFill patternType="solid">
          <fgColor rgb="FFF6F8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24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7F7"/>
          <bgColor rgb="FF000000"/>
        </patternFill>
      </fill>
    </dxf>
    <dxf>
      <fill>
        <patternFill patternType="solid">
          <fgColor rgb="FFFBE2E1"/>
          <bgColor rgb="FF000000"/>
        </patternFill>
      </fill>
    </dxf>
    <dxf>
      <fill>
        <patternFill patternType="solid">
          <fgColor rgb="FFFCEED2"/>
          <bgColor rgb="FF000000"/>
        </patternFill>
      </fill>
    </dxf>
    <dxf>
      <fill>
        <patternFill patternType="solid">
          <fgColor rgb="FFDDF7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CEED2"/>
      <rgbColor rgb="FFDDF7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7F7"/>
      <rgbColor rgb="FFDEE6E3"/>
      <rgbColor rgb="FFF6F8F7"/>
      <rgbColor rgb="FF99CCFF"/>
      <rgbColor rgb="FFFF99CC"/>
      <rgbColor rgb="FFCC99FF"/>
      <rgbColor rgb="FFFBE2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B2430"/>
      <rgbColor rgb="FF993300"/>
      <rgbColor rgb="FF993366"/>
      <rgbColor rgb="FF4A4A4A"/>
      <rgbColor rgb="FF1F3D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1"/>
    </row>
    <row r="3" customFormat="false" ht="15" hidden="false" customHeight="false" outlineLevel="0" collapsed="false">
      <c r="A3" s="1"/>
      <c r="B3" s="2"/>
      <c r="C3" s="2"/>
      <c r="D3" s="2"/>
      <c r="E3" s="2"/>
      <c r="F3" s="2"/>
      <c r="G3" s="2"/>
      <c r="H3" s="1"/>
    </row>
    <row r="4" customFormat="false" ht="15" hidden="false" customHeight="true" outlineLevel="0" collapsed="false">
      <c r="A4" s="1"/>
      <c r="B4" s="3" t="s">
        <v>1</v>
      </c>
      <c r="C4" s="3"/>
      <c r="D4" s="3"/>
      <c r="E4" s="3"/>
      <c r="F4" s="3"/>
      <c r="G4" s="3"/>
      <c r="H4" s="1"/>
    </row>
    <row r="5" customFormat="false" ht="15" hidden="false" customHeight="false" outlineLevel="0" collapsed="false">
      <c r="A5" s="1"/>
      <c r="B5" s="3"/>
      <c r="C5" s="3"/>
      <c r="D5" s="3"/>
      <c r="E5" s="3"/>
      <c r="F5" s="3"/>
      <c r="G5" s="3"/>
      <c r="H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9" customFormat="false" ht="16.15" hidden="false" customHeight="false" outlineLevel="0" collapsed="false">
      <c r="B9" s="4" t="s">
        <v>2</v>
      </c>
    </row>
    <row r="10" customFormat="false" ht="15" hidden="false" customHeight="true" outlineLevel="0" collapsed="false">
      <c r="B10" s="5" t="s">
        <v>3</v>
      </c>
      <c r="C10" s="6" t="s">
        <v>4</v>
      </c>
      <c r="D10" s="6"/>
      <c r="E10" s="6"/>
      <c r="F10" s="6"/>
      <c r="G10" s="6"/>
      <c r="H10" s="6"/>
    </row>
    <row r="11" customFormat="false" ht="15" hidden="false" customHeight="true" outlineLevel="0" collapsed="false">
      <c r="B11" s="5" t="s">
        <v>5</v>
      </c>
      <c r="C11" s="6" t="s">
        <v>6</v>
      </c>
      <c r="D11" s="6"/>
      <c r="E11" s="6"/>
      <c r="F11" s="6"/>
      <c r="G11" s="6"/>
      <c r="H11" s="6"/>
    </row>
    <row r="12" customFormat="false" ht="15" hidden="false" customHeight="true" outlineLevel="0" collapsed="false">
      <c r="B12" s="5" t="s">
        <v>7</v>
      </c>
      <c r="C12" s="6" t="s">
        <v>8</v>
      </c>
      <c r="D12" s="6"/>
      <c r="E12" s="6"/>
      <c r="F12" s="6"/>
      <c r="G12" s="6"/>
      <c r="H12" s="6"/>
    </row>
    <row r="13" customFormat="false" ht="15" hidden="false" customHeight="true" outlineLevel="0" collapsed="false">
      <c r="B13" s="5" t="s">
        <v>9</v>
      </c>
      <c r="C13" s="6" t="s">
        <v>10</v>
      </c>
      <c r="D13" s="6"/>
      <c r="E13" s="6"/>
      <c r="F13" s="6"/>
      <c r="G13" s="6"/>
      <c r="H13" s="6"/>
    </row>
    <row r="14" customFormat="false" ht="15" hidden="false" customHeight="true" outlineLevel="0" collapsed="false">
      <c r="B14" s="5" t="s">
        <v>11</v>
      </c>
      <c r="C14" s="6" t="s">
        <v>12</v>
      </c>
      <c r="D14" s="6"/>
      <c r="E14" s="6"/>
      <c r="F14" s="6"/>
      <c r="G14" s="6"/>
      <c r="H14" s="6"/>
    </row>
    <row r="15" customFormat="false" ht="15" hidden="false" customHeight="true" outlineLevel="0" collapsed="false">
      <c r="B15" s="5" t="s">
        <v>13</v>
      </c>
      <c r="C15" s="7" t="s">
        <v>14</v>
      </c>
      <c r="D15" s="7"/>
      <c r="E15" s="7"/>
      <c r="F15" s="7"/>
      <c r="G15" s="7"/>
      <c r="H15" s="7"/>
    </row>
    <row r="18" customFormat="false" ht="20.1" hidden="false" customHeight="false" outlineLevel="0" collapsed="false">
      <c r="B18" s="8" t="s">
        <v>15</v>
      </c>
    </row>
    <row r="19" customFormat="false" ht="15" hidden="false" customHeight="false" outlineLevel="0" collapsed="false">
      <c r="B19" s="9" t="s">
        <v>16</v>
      </c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B20" s="9" t="s">
        <v>17</v>
      </c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B21" s="9" t="s">
        <v>18</v>
      </c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B22" s="9" t="s">
        <v>19</v>
      </c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B23" s="9" t="s">
        <v>20</v>
      </c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B24" s="9" t="s">
        <v>21</v>
      </c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B25" s="9" t="s">
        <v>22</v>
      </c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B26" s="10" t="s">
        <v>23</v>
      </c>
      <c r="C26" s="10"/>
      <c r="D26" s="10"/>
      <c r="E26" s="10"/>
      <c r="F26" s="10"/>
      <c r="G26" s="10"/>
      <c r="H26" s="10"/>
    </row>
  </sheetData>
  <mergeCells count="16">
    <mergeCell ref="B2:G3"/>
    <mergeCell ref="B4:G5"/>
    <mergeCell ref="C10:H10"/>
    <mergeCell ref="C11:H11"/>
    <mergeCell ref="C12:H12"/>
    <mergeCell ref="C13:H13"/>
    <mergeCell ref="C14:H14"/>
    <mergeCell ref="C15:H15"/>
    <mergeCell ref="B19:H19"/>
    <mergeCell ref="B20:H20"/>
    <mergeCell ref="B21:H21"/>
    <mergeCell ref="B22:H22"/>
    <mergeCell ref="B23:H23"/>
    <mergeCell ref="B24:H24"/>
    <mergeCell ref="B25:H25"/>
    <mergeCell ref="B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20.1" hidden="false" customHeight="false" outlineLevel="0" collapsed="false">
      <c r="B1" s="4" t="s">
        <v>24</v>
      </c>
    </row>
    <row r="3" customFormat="false" ht="15" hidden="false" customHeight="false" outlineLevel="0" collapsed="false">
      <c r="B3" s="11" t="s">
        <v>25</v>
      </c>
      <c r="C3" s="12" t="n">
        <f aca="false">COUNTA(Features!$A$2:$A$60)</f>
        <v>59</v>
      </c>
    </row>
    <row r="4" customFormat="false" ht="15" hidden="false" customHeight="false" outlineLevel="0" collapsed="false">
      <c r="B4" s="11" t="s">
        <v>26</v>
      </c>
      <c r="C4" s="12" t="n">
        <f aca="false">COUNTIF(Features!$F$2:$F$60,"Implemented")</f>
        <v>59</v>
      </c>
    </row>
    <row r="5" customFormat="false" ht="15" hidden="false" customHeight="false" outlineLevel="0" collapsed="false">
      <c r="B5" s="11" t="s">
        <v>27</v>
      </c>
      <c r="C5" s="13" t="n">
        <f aca="false">C4/C3</f>
        <v>1</v>
      </c>
    </row>
    <row r="8" customFormat="false" ht="16.15" hidden="false" customHeight="false" outlineLevel="0" collapsed="false">
      <c r="B8" s="4" t="s">
        <v>28</v>
      </c>
    </row>
    <row r="9" customFormat="false" ht="15" hidden="false" customHeight="false" outlineLevel="0" collapsed="false">
      <c r="B9" s="14" t="s">
        <v>29</v>
      </c>
      <c r="C9" s="14" t="s">
        <v>30</v>
      </c>
      <c r="D9" s="14" t="s">
        <v>31</v>
      </c>
    </row>
    <row r="10" customFormat="false" ht="15" hidden="false" customHeight="false" outlineLevel="0" collapsed="false">
      <c r="B10" s="15" t="s">
        <v>32</v>
      </c>
      <c r="C10" s="16" t="n">
        <f aca="false">COUNTIF(Features!$E$2:$E$60,"Must")</f>
        <v>22</v>
      </c>
      <c r="D10" s="17" t="n">
        <f aca="false">C10/$C$3</f>
        <v>0.372881355932203</v>
      </c>
    </row>
    <row r="11" customFormat="false" ht="15" hidden="false" customHeight="false" outlineLevel="0" collapsed="false">
      <c r="B11" s="18" t="s">
        <v>33</v>
      </c>
      <c r="C11" s="19" t="n">
        <f aca="false">COUNTIF(Features!$E$2:$E$60,"Should")</f>
        <v>26</v>
      </c>
      <c r="D11" s="20" t="n">
        <f aca="false">C11/$C$3</f>
        <v>0.440677966101695</v>
      </c>
    </row>
    <row r="12" customFormat="false" ht="15" hidden="false" customHeight="false" outlineLevel="0" collapsed="false">
      <c r="B12" s="15" t="s">
        <v>34</v>
      </c>
      <c r="C12" s="16" t="n">
        <f aca="false">COUNTIF(Features!$E$2:$E$60,"Could")</f>
        <v>11</v>
      </c>
      <c r="D12" s="17" t="n">
        <f aca="false">C12/$C$3</f>
        <v>0.186440677966102</v>
      </c>
    </row>
    <row r="15" customFormat="false" ht="16.15" hidden="false" customHeight="false" outlineLevel="0" collapsed="false">
      <c r="B15" s="4" t="s">
        <v>35</v>
      </c>
    </row>
    <row r="16" customFormat="false" ht="15" hidden="false" customHeight="false" outlineLevel="0" collapsed="false">
      <c r="B16" s="14" t="s">
        <v>36</v>
      </c>
      <c r="C16" s="14" t="s">
        <v>30</v>
      </c>
    </row>
    <row r="17" customFormat="false" ht="15" hidden="false" customHeight="false" outlineLevel="0" collapsed="false">
      <c r="B17" s="21" t="s">
        <v>37</v>
      </c>
      <c r="C17" s="16" t="n">
        <f aca="false">COUNTIF(Features!$B$2:$B$60,"인증")</f>
        <v>9</v>
      </c>
    </row>
    <row r="18" customFormat="false" ht="15" hidden="false" customHeight="false" outlineLevel="0" collapsed="false">
      <c r="B18" s="22" t="s">
        <v>38</v>
      </c>
      <c r="C18" s="19" t="n">
        <f aca="false">COUNTIF(Features!$B$2:$B$60,"건강기록")</f>
        <v>6</v>
      </c>
    </row>
    <row r="19" customFormat="false" ht="15" hidden="false" customHeight="false" outlineLevel="0" collapsed="false">
      <c r="B19" s="21" t="s">
        <v>39</v>
      </c>
      <c r="C19" s="16" t="n">
        <f aca="false">COUNTIF(Features!$B$2:$B$60,"목표/리포트")</f>
        <v>4</v>
      </c>
    </row>
    <row r="20" customFormat="false" ht="15" hidden="false" customHeight="false" outlineLevel="0" collapsed="false">
      <c r="B20" s="18" t="s">
        <v>40</v>
      </c>
      <c r="C20" s="19" t="n">
        <f aca="false">COUNTIF(Features!$B$2:$B$60,"AI Health Coach")</f>
        <v>7</v>
      </c>
    </row>
    <row r="21" customFormat="false" ht="15" hidden="false" customHeight="false" outlineLevel="0" collapsed="false">
      <c r="B21" s="21" t="s">
        <v>41</v>
      </c>
      <c r="C21" s="16" t="n">
        <f aca="false">COUNTIF(Features!$B$2:$B$60,"데이터 내보내기")</f>
        <v>1</v>
      </c>
    </row>
    <row r="22" customFormat="false" ht="15" hidden="false" customHeight="false" outlineLevel="0" collapsed="false">
      <c r="B22" s="22" t="s">
        <v>42</v>
      </c>
      <c r="C22" s="19" t="n">
        <f aca="false">COUNTIF(Features!$B$2:$B$60,"외부 연동")</f>
        <v>2</v>
      </c>
    </row>
    <row r="23" customFormat="false" ht="15" hidden="false" customHeight="false" outlineLevel="0" collapsed="false">
      <c r="B23" s="21" t="s">
        <v>43</v>
      </c>
      <c r="C23" s="16" t="n">
        <f aca="false">COUNTIF(Features!$B$2:$B$60,"알림")</f>
        <v>2</v>
      </c>
    </row>
    <row r="24" customFormat="false" ht="15" hidden="false" customHeight="false" outlineLevel="0" collapsed="false">
      <c r="B24" s="22" t="s">
        <v>44</v>
      </c>
      <c r="C24" s="19" t="n">
        <f aca="false">COUNTIF(Features!$B$2:$B$60,"관리자")</f>
        <v>8</v>
      </c>
    </row>
    <row r="25" customFormat="false" ht="15" hidden="false" customHeight="false" outlineLevel="0" collapsed="false">
      <c r="B25" s="21" t="s">
        <v>45</v>
      </c>
      <c r="C25" s="16" t="n">
        <f aca="false">COUNTIF(Features!$B$2:$B$60,"프론트엔드")</f>
        <v>8</v>
      </c>
    </row>
    <row r="26" customFormat="false" ht="15" hidden="false" customHeight="false" outlineLevel="0" collapsed="false">
      <c r="B26" s="22" t="s">
        <v>46</v>
      </c>
      <c r="C26" s="19" t="n">
        <f aca="false">COUNTIF(Features!$B$2:$B$60,"보안")</f>
        <v>5</v>
      </c>
    </row>
    <row r="27" customFormat="false" ht="15" hidden="false" customHeight="false" outlineLevel="0" collapsed="false">
      <c r="B27" s="21" t="s">
        <v>47</v>
      </c>
      <c r="C27" s="16" t="n">
        <f aca="false">COUNTIF(Features!$B$2:$B$60,"인프라")</f>
        <v>5</v>
      </c>
    </row>
    <row r="28" customFormat="false" ht="15" hidden="false" customHeight="false" outlineLevel="0" collapsed="false">
      <c r="B28" s="22" t="s">
        <v>48</v>
      </c>
      <c r="C28" s="19" t="n">
        <f aca="false">COUNTIF(Features!$B$2:$B$60,"성능")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16.15" hidden="false" customHeight="false" outlineLevel="0" collapsed="false">
      <c r="B1" s="8" t="s">
        <v>49</v>
      </c>
    </row>
    <row r="3" customFormat="false" ht="45" hidden="false" customHeight="true" outlineLevel="0" collapsed="false">
      <c r="B3" s="23" t="s">
        <v>50</v>
      </c>
      <c r="C3" s="24" t="s">
        <v>51</v>
      </c>
    </row>
    <row r="5" customFormat="false" ht="45" hidden="false" customHeight="true" outlineLevel="0" collapsed="false">
      <c r="B5" s="23" t="s">
        <v>52</v>
      </c>
      <c r="C5" s="25" t="s">
        <v>53</v>
      </c>
    </row>
    <row r="7" customFormat="false" ht="90" hidden="false" customHeight="true" outlineLevel="0" collapsed="false">
      <c r="B7" s="23" t="s">
        <v>54</v>
      </c>
      <c r="C7" s="25" t="s">
        <v>55</v>
      </c>
    </row>
    <row r="9" customFormat="false" ht="45" hidden="false" customHeight="true" outlineLevel="0" collapsed="false">
      <c r="B9" s="23" t="s">
        <v>56</v>
      </c>
      <c r="C9" s="24" t="s">
        <v>57</v>
      </c>
    </row>
    <row r="11" customFormat="false" ht="105" hidden="false" customHeight="true" outlineLevel="0" collapsed="false">
      <c r="B11" s="23" t="s">
        <v>58</v>
      </c>
      <c r="C11" s="25" t="s">
        <v>59</v>
      </c>
    </row>
    <row r="13" customFormat="false" ht="30" hidden="false" customHeight="true" outlineLevel="0" collapsed="false">
      <c r="B13" s="23" t="s">
        <v>60</v>
      </c>
      <c r="C13" s="24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44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28"/>
    <col collapsed="false" customWidth="true" hidden="false" outlineLevel="0" max="8" min="8" style="0" width="42"/>
  </cols>
  <sheetData>
    <row r="1" customFormat="false" ht="24" hidden="false" customHeight="true" outlineLevel="0" collapsed="false">
      <c r="A1" s="26" t="s">
        <v>62</v>
      </c>
      <c r="B1" s="14" t="s">
        <v>36</v>
      </c>
      <c r="C1" s="14" t="s">
        <v>63</v>
      </c>
      <c r="D1" s="26" t="s">
        <v>64</v>
      </c>
      <c r="E1" s="14" t="s">
        <v>29</v>
      </c>
      <c r="F1" s="14" t="s">
        <v>65</v>
      </c>
      <c r="G1" s="14" t="s">
        <v>66</v>
      </c>
      <c r="H1" s="14" t="s">
        <v>67</v>
      </c>
    </row>
    <row r="2" customFormat="false" ht="29.85" hidden="false" customHeight="false" outlineLevel="0" collapsed="false">
      <c r="A2" s="15" t="s">
        <v>68</v>
      </c>
      <c r="B2" s="21" t="s">
        <v>37</v>
      </c>
      <c r="C2" s="21" t="s">
        <v>69</v>
      </c>
      <c r="D2" s="21" t="s">
        <v>70</v>
      </c>
      <c r="E2" s="27" t="s">
        <v>32</v>
      </c>
      <c r="F2" s="15" t="s">
        <v>71</v>
      </c>
      <c r="G2" s="15" t="s">
        <v>72</v>
      </c>
      <c r="H2" s="21" t="s">
        <v>73</v>
      </c>
    </row>
    <row r="3" customFormat="false" ht="29.85" hidden="false" customHeight="false" outlineLevel="0" collapsed="false">
      <c r="A3" s="18" t="s">
        <v>74</v>
      </c>
      <c r="B3" s="22" t="s">
        <v>37</v>
      </c>
      <c r="C3" s="22" t="s">
        <v>75</v>
      </c>
      <c r="D3" s="22" t="s">
        <v>76</v>
      </c>
      <c r="E3" s="27" t="s">
        <v>32</v>
      </c>
      <c r="F3" s="18" t="s">
        <v>71</v>
      </c>
      <c r="G3" s="18" t="s">
        <v>77</v>
      </c>
      <c r="H3" s="18" t="s">
        <v>78</v>
      </c>
    </row>
    <row r="4" customFormat="false" ht="29.85" hidden="false" customHeight="false" outlineLevel="0" collapsed="false">
      <c r="A4" s="15" t="s">
        <v>79</v>
      </c>
      <c r="B4" s="21" t="s">
        <v>37</v>
      </c>
      <c r="C4" s="21" t="s">
        <v>80</v>
      </c>
      <c r="D4" s="21" t="s">
        <v>81</v>
      </c>
      <c r="E4" s="27" t="s">
        <v>32</v>
      </c>
      <c r="F4" s="15" t="s">
        <v>71</v>
      </c>
      <c r="G4" s="15" t="s">
        <v>82</v>
      </c>
      <c r="H4" s="15" t="s">
        <v>83</v>
      </c>
    </row>
    <row r="5" customFormat="false" ht="29.85" hidden="false" customHeight="false" outlineLevel="0" collapsed="false">
      <c r="A5" s="18" t="s">
        <v>84</v>
      </c>
      <c r="B5" s="22" t="s">
        <v>37</v>
      </c>
      <c r="C5" s="18" t="s">
        <v>85</v>
      </c>
      <c r="D5" s="22" t="s">
        <v>86</v>
      </c>
      <c r="E5" s="27" t="s">
        <v>32</v>
      </c>
      <c r="F5" s="18" t="s">
        <v>71</v>
      </c>
      <c r="G5" s="18" t="s">
        <v>87</v>
      </c>
      <c r="H5" s="22" t="s">
        <v>88</v>
      </c>
    </row>
    <row r="6" customFormat="false" ht="29.85" hidden="false" customHeight="false" outlineLevel="0" collapsed="false">
      <c r="A6" s="15" t="s">
        <v>89</v>
      </c>
      <c r="B6" s="21" t="s">
        <v>37</v>
      </c>
      <c r="C6" s="21" t="s">
        <v>90</v>
      </c>
      <c r="D6" s="21" t="s">
        <v>91</v>
      </c>
      <c r="E6" s="28" t="s">
        <v>33</v>
      </c>
      <c r="F6" s="15" t="s">
        <v>71</v>
      </c>
      <c r="G6" s="15" t="s">
        <v>92</v>
      </c>
      <c r="H6" s="21" t="s">
        <v>93</v>
      </c>
    </row>
    <row r="7" customFormat="false" ht="29.85" hidden="false" customHeight="false" outlineLevel="0" collapsed="false">
      <c r="A7" s="18" t="s">
        <v>94</v>
      </c>
      <c r="B7" s="22" t="s">
        <v>37</v>
      </c>
      <c r="C7" s="22" t="s">
        <v>95</v>
      </c>
      <c r="D7" s="22" t="s">
        <v>96</v>
      </c>
      <c r="E7" s="28" t="s">
        <v>33</v>
      </c>
      <c r="F7" s="18" t="s">
        <v>71</v>
      </c>
      <c r="G7" s="18" t="s">
        <v>97</v>
      </c>
      <c r="H7" s="22" t="s">
        <v>98</v>
      </c>
    </row>
    <row r="8" customFormat="false" ht="15" hidden="false" customHeight="false" outlineLevel="0" collapsed="false">
      <c r="A8" s="15" t="s">
        <v>99</v>
      </c>
      <c r="B8" s="21" t="s">
        <v>37</v>
      </c>
      <c r="C8" s="21" t="s">
        <v>100</v>
      </c>
      <c r="D8" s="21" t="s">
        <v>101</v>
      </c>
      <c r="E8" s="29" t="s">
        <v>34</v>
      </c>
      <c r="F8" s="15" t="s">
        <v>71</v>
      </c>
      <c r="G8" s="15" t="s">
        <v>102</v>
      </c>
      <c r="H8" s="21" t="s">
        <v>103</v>
      </c>
    </row>
    <row r="9" customFormat="false" ht="29.85" hidden="false" customHeight="false" outlineLevel="0" collapsed="false">
      <c r="A9" s="18" t="s">
        <v>104</v>
      </c>
      <c r="B9" s="22" t="s">
        <v>37</v>
      </c>
      <c r="C9" s="22" t="s">
        <v>105</v>
      </c>
      <c r="D9" s="22" t="s">
        <v>106</v>
      </c>
      <c r="E9" s="28" t="s">
        <v>33</v>
      </c>
      <c r="F9" s="18" t="s">
        <v>71</v>
      </c>
      <c r="G9" s="18" t="s">
        <v>107</v>
      </c>
      <c r="H9" s="22" t="s">
        <v>108</v>
      </c>
    </row>
    <row r="10" customFormat="false" ht="29.85" hidden="false" customHeight="false" outlineLevel="0" collapsed="false">
      <c r="A10" s="15" t="s">
        <v>109</v>
      </c>
      <c r="B10" s="21" t="s">
        <v>37</v>
      </c>
      <c r="C10" s="21" t="s">
        <v>110</v>
      </c>
      <c r="D10" s="21" t="s">
        <v>111</v>
      </c>
      <c r="E10" s="28" t="s">
        <v>33</v>
      </c>
      <c r="F10" s="15" t="s">
        <v>71</v>
      </c>
      <c r="G10" s="15" t="s">
        <v>112</v>
      </c>
      <c r="H10" s="21" t="s">
        <v>113</v>
      </c>
    </row>
    <row r="11" customFormat="false" ht="29.85" hidden="false" customHeight="false" outlineLevel="0" collapsed="false">
      <c r="A11" s="18" t="s">
        <v>114</v>
      </c>
      <c r="B11" s="22" t="s">
        <v>38</v>
      </c>
      <c r="C11" s="22" t="s">
        <v>115</v>
      </c>
      <c r="D11" s="22" t="s">
        <v>116</v>
      </c>
      <c r="E11" s="27" t="s">
        <v>32</v>
      </c>
      <c r="F11" s="18" t="s">
        <v>71</v>
      </c>
      <c r="G11" s="18" t="s">
        <v>117</v>
      </c>
      <c r="H11" s="22" t="s">
        <v>118</v>
      </c>
    </row>
    <row r="12" customFormat="false" ht="29.85" hidden="false" customHeight="false" outlineLevel="0" collapsed="false">
      <c r="A12" s="15" t="s">
        <v>119</v>
      </c>
      <c r="B12" s="21" t="s">
        <v>38</v>
      </c>
      <c r="C12" s="15" t="s">
        <v>120</v>
      </c>
      <c r="D12" s="21" t="s">
        <v>121</v>
      </c>
      <c r="E12" s="27" t="s">
        <v>32</v>
      </c>
      <c r="F12" s="15" t="s">
        <v>71</v>
      </c>
      <c r="G12" s="15" t="s">
        <v>122</v>
      </c>
      <c r="H12" s="21" t="s">
        <v>123</v>
      </c>
    </row>
    <row r="13" customFormat="false" ht="15" hidden="false" customHeight="false" outlineLevel="0" collapsed="false">
      <c r="A13" s="18" t="s">
        <v>124</v>
      </c>
      <c r="B13" s="22" t="s">
        <v>38</v>
      </c>
      <c r="C13" s="22" t="s">
        <v>125</v>
      </c>
      <c r="D13" s="22" t="s">
        <v>126</v>
      </c>
      <c r="E13" s="27" t="s">
        <v>32</v>
      </c>
      <c r="F13" s="18" t="s">
        <v>71</v>
      </c>
      <c r="G13" s="18" t="s">
        <v>127</v>
      </c>
      <c r="H13" s="18"/>
    </row>
    <row r="14" customFormat="false" ht="15" hidden="false" customHeight="false" outlineLevel="0" collapsed="false">
      <c r="A14" s="15" t="s">
        <v>128</v>
      </c>
      <c r="B14" s="21" t="s">
        <v>38</v>
      </c>
      <c r="C14" s="21" t="s">
        <v>129</v>
      </c>
      <c r="D14" s="21" t="s">
        <v>130</v>
      </c>
      <c r="E14" s="27" t="s">
        <v>32</v>
      </c>
      <c r="F14" s="15" t="s">
        <v>71</v>
      </c>
      <c r="G14" s="15" t="s">
        <v>131</v>
      </c>
      <c r="H14" s="15"/>
    </row>
    <row r="15" customFormat="false" ht="29.85" hidden="false" customHeight="false" outlineLevel="0" collapsed="false">
      <c r="A15" s="18" t="s">
        <v>132</v>
      </c>
      <c r="B15" s="22" t="s">
        <v>38</v>
      </c>
      <c r="C15" s="22" t="s">
        <v>133</v>
      </c>
      <c r="D15" s="22" t="s">
        <v>134</v>
      </c>
      <c r="E15" s="27" t="s">
        <v>32</v>
      </c>
      <c r="F15" s="18" t="s">
        <v>71</v>
      </c>
      <c r="G15" s="18" t="s">
        <v>135</v>
      </c>
      <c r="H15" s="18" t="s">
        <v>136</v>
      </c>
    </row>
    <row r="16" customFormat="false" ht="29.85" hidden="false" customHeight="false" outlineLevel="0" collapsed="false">
      <c r="A16" s="15" t="s">
        <v>137</v>
      </c>
      <c r="B16" s="21" t="s">
        <v>38</v>
      </c>
      <c r="C16" s="21" t="s">
        <v>138</v>
      </c>
      <c r="D16" s="21" t="s">
        <v>139</v>
      </c>
      <c r="E16" s="28" t="s">
        <v>33</v>
      </c>
      <c r="F16" s="15" t="s">
        <v>71</v>
      </c>
      <c r="G16" s="15" t="s">
        <v>140</v>
      </c>
      <c r="H16" s="21" t="s">
        <v>141</v>
      </c>
    </row>
    <row r="17" customFormat="false" ht="29.85" hidden="false" customHeight="false" outlineLevel="0" collapsed="false">
      <c r="A17" s="18" t="s">
        <v>142</v>
      </c>
      <c r="B17" s="22" t="s">
        <v>39</v>
      </c>
      <c r="C17" s="22" t="s">
        <v>143</v>
      </c>
      <c r="D17" s="22" t="s">
        <v>144</v>
      </c>
      <c r="E17" s="28" t="s">
        <v>33</v>
      </c>
      <c r="F17" s="18" t="s">
        <v>71</v>
      </c>
      <c r="G17" s="18" t="s">
        <v>145</v>
      </c>
      <c r="H17" s="18"/>
    </row>
    <row r="18" customFormat="false" ht="29.85" hidden="false" customHeight="false" outlineLevel="0" collapsed="false">
      <c r="A18" s="15" t="s">
        <v>146</v>
      </c>
      <c r="B18" s="21" t="s">
        <v>39</v>
      </c>
      <c r="C18" s="21" t="s">
        <v>147</v>
      </c>
      <c r="D18" s="21" t="s">
        <v>148</v>
      </c>
      <c r="E18" s="29" t="s">
        <v>34</v>
      </c>
      <c r="F18" s="15" t="s">
        <v>71</v>
      </c>
      <c r="G18" s="15" t="s">
        <v>149</v>
      </c>
      <c r="H18" s="21" t="s">
        <v>150</v>
      </c>
    </row>
    <row r="19" customFormat="false" ht="29.85" hidden="false" customHeight="false" outlineLevel="0" collapsed="false">
      <c r="A19" s="18" t="s">
        <v>151</v>
      </c>
      <c r="B19" s="22" t="s">
        <v>39</v>
      </c>
      <c r="C19" s="22" t="s">
        <v>152</v>
      </c>
      <c r="D19" s="22" t="s">
        <v>153</v>
      </c>
      <c r="E19" s="28" t="s">
        <v>33</v>
      </c>
      <c r="F19" s="18" t="s">
        <v>71</v>
      </c>
      <c r="G19" s="18" t="s">
        <v>154</v>
      </c>
      <c r="H19" s="18"/>
    </row>
    <row r="20" customFormat="false" ht="29.85" hidden="false" customHeight="false" outlineLevel="0" collapsed="false">
      <c r="A20" s="15" t="s">
        <v>155</v>
      </c>
      <c r="B20" s="21" t="s">
        <v>39</v>
      </c>
      <c r="C20" s="15" t="s">
        <v>156</v>
      </c>
      <c r="D20" s="21" t="s">
        <v>157</v>
      </c>
      <c r="E20" s="29" t="s">
        <v>34</v>
      </c>
      <c r="F20" s="15" t="s">
        <v>71</v>
      </c>
      <c r="G20" s="15" t="s">
        <v>158</v>
      </c>
      <c r="H20" s="15" t="s">
        <v>159</v>
      </c>
    </row>
    <row r="21" customFormat="false" ht="29.85" hidden="false" customHeight="false" outlineLevel="0" collapsed="false">
      <c r="A21" s="18" t="s">
        <v>160</v>
      </c>
      <c r="B21" s="18" t="s">
        <v>40</v>
      </c>
      <c r="C21" s="22" t="s">
        <v>161</v>
      </c>
      <c r="D21" s="22" t="s">
        <v>162</v>
      </c>
      <c r="E21" s="28" t="s">
        <v>33</v>
      </c>
      <c r="F21" s="18" t="s">
        <v>71</v>
      </c>
      <c r="G21" s="18" t="s">
        <v>163</v>
      </c>
      <c r="H21" s="18" t="s">
        <v>164</v>
      </c>
    </row>
    <row r="22" customFormat="false" ht="15" hidden="false" customHeight="false" outlineLevel="0" collapsed="false">
      <c r="A22" s="15" t="s">
        <v>165</v>
      </c>
      <c r="B22" s="15" t="s">
        <v>40</v>
      </c>
      <c r="C22" s="21" t="s">
        <v>166</v>
      </c>
      <c r="D22" s="21" t="s">
        <v>167</v>
      </c>
      <c r="E22" s="28" t="s">
        <v>33</v>
      </c>
      <c r="F22" s="15" t="s">
        <v>71</v>
      </c>
      <c r="G22" s="15" t="s">
        <v>168</v>
      </c>
      <c r="H22" s="15"/>
    </row>
    <row r="23" customFormat="false" ht="15" hidden="false" customHeight="false" outlineLevel="0" collapsed="false">
      <c r="A23" s="18" t="s">
        <v>169</v>
      </c>
      <c r="B23" s="18" t="s">
        <v>40</v>
      </c>
      <c r="C23" s="22" t="s">
        <v>170</v>
      </c>
      <c r="D23" s="22" t="s">
        <v>171</v>
      </c>
      <c r="E23" s="28" t="s">
        <v>33</v>
      </c>
      <c r="F23" s="18" t="s">
        <v>71</v>
      </c>
      <c r="G23" s="18" t="s">
        <v>172</v>
      </c>
      <c r="H23" s="18" t="s">
        <v>173</v>
      </c>
    </row>
    <row r="24" customFormat="false" ht="15" hidden="false" customHeight="false" outlineLevel="0" collapsed="false">
      <c r="A24" s="15" t="s">
        <v>174</v>
      </c>
      <c r="B24" s="15" t="s">
        <v>40</v>
      </c>
      <c r="C24" s="15" t="s">
        <v>175</v>
      </c>
      <c r="D24" s="21" t="s">
        <v>176</v>
      </c>
      <c r="E24" s="28" t="s">
        <v>33</v>
      </c>
      <c r="F24" s="15" t="s">
        <v>71</v>
      </c>
      <c r="G24" s="15" t="s">
        <v>177</v>
      </c>
      <c r="H24" s="21" t="s">
        <v>178</v>
      </c>
    </row>
    <row r="25" customFormat="false" ht="15" hidden="false" customHeight="false" outlineLevel="0" collapsed="false">
      <c r="A25" s="18" t="s">
        <v>179</v>
      </c>
      <c r="B25" s="18" t="s">
        <v>40</v>
      </c>
      <c r="C25" s="22" t="s">
        <v>180</v>
      </c>
      <c r="D25" s="22" t="s">
        <v>181</v>
      </c>
      <c r="E25" s="29" t="s">
        <v>34</v>
      </c>
      <c r="F25" s="18" t="s">
        <v>71</v>
      </c>
      <c r="G25" s="18" t="s">
        <v>182</v>
      </c>
      <c r="H25" s="18"/>
    </row>
    <row r="26" customFormat="false" ht="15" hidden="false" customHeight="false" outlineLevel="0" collapsed="false">
      <c r="A26" s="15" t="s">
        <v>183</v>
      </c>
      <c r="B26" s="15" t="s">
        <v>40</v>
      </c>
      <c r="C26" s="21" t="s">
        <v>184</v>
      </c>
      <c r="D26" s="21" t="s">
        <v>185</v>
      </c>
      <c r="E26" s="29" t="s">
        <v>34</v>
      </c>
      <c r="F26" s="15" t="s">
        <v>71</v>
      </c>
      <c r="G26" s="15" t="s">
        <v>186</v>
      </c>
      <c r="H26" s="15"/>
    </row>
    <row r="27" customFormat="false" ht="15" hidden="false" customHeight="false" outlineLevel="0" collapsed="false">
      <c r="A27" s="18" t="s">
        <v>187</v>
      </c>
      <c r="B27" s="18" t="s">
        <v>40</v>
      </c>
      <c r="C27" s="22" t="s">
        <v>188</v>
      </c>
      <c r="D27" s="22" t="s">
        <v>189</v>
      </c>
      <c r="E27" s="29" t="s">
        <v>34</v>
      </c>
      <c r="F27" s="18" t="s">
        <v>71</v>
      </c>
      <c r="G27" s="18" t="s">
        <v>190</v>
      </c>
      <c r="H27" s="22" t="s">
        <v>191</v>
      </c>
    </row>
    <row r="28" customFormat="false" ht="29.85" hidden="false" customHeight="false" outlineLevel="0" collapsed="false">
      <c r="A28" s="15" t="s">
        <v>192</v>
      </c>
      <c r="B28" s="21" t="s">
        <v>41</v>
      </c>
      <c r="C28" s="15" t="s">
        <v>193</v>
      </c>
      <c r="D28" s="21" t="s">
        <v>194</v>
      </c>
      <c r="E28" s="28" t="s">
        <v>33</v>
      </c>
      <c r="F28" s="15" t="s">
        <v>71</v>
      </c>
      <c r="G28" s="15" t="s">
        <v>195</v>
      </c>
      <c r="H28" s="21" t="s">
        <v>196</v>
      </c>
    </row>
    <row r="29" customFormat="false" ht="29.85" hidden="false" customHeight="false" outlineLevel="0" collapsed="false">
      <c r="A29" s="18" t="s">
        <v>197</v>
      </c>
      <c r="B29" s="22" t="s">
        <v>42</v>
      </c>
      <c r="C29" s="22" t="s">
        <v>198</v>
      </c>
      <c r="D29" s="22" t="s">
        <v>199</v>
      </c>
      <c r="E29" s="29" t="s">
        <v>34</v>
      </c>
      <c r="F29" s="18" t="s">
        <v>71</v>
      </c>
      <c r="G29" s="18" t="s">
        <v>200</v>
      </c>
      <c r="H29" s="22" t="s">
        <v>201</v>
      </c>
    </row>
    <row r="30" customFormat="false" ht="35.05" hidden="false" customHeight="false" outlineLevel="0" collapsed="false">
      <c r="A30" s="15" t="s">
        <v>202</v>
      </c>
      <c r="B30" s="21" t="s">
        <v>42</v>
      </c>
      <c r="C30" s="15" t="s">
        <v>203</v>
      </c>
      <c r="D30" s="21" t="s">
        <v>204</v>
      </c>
      <c r="E30" s="28" t="s">
        <v>33</v>
      </c>
      <c r="F30" s="15" t="s">
        <v>71</v>
      </c>
      <c r="G30" s="15" t="s">
        <v>205</v>
      </c>
      <c r="H30" s="21" t="s">
        <v>206</v>
      </c>
    </row>
    <row r="31" customFormat="false" ht="35.05" hidden="false" customHeight="false" outlineLevel="0" collapsed="false">
      <c r="A31" s="18" t="s">
        <v>207</v>
      </c>
      <c r="B31" s="22" t="s">
        <v>43</v>
      </c>
      <c r="C31" s="18" t="s">
        <v>208</v>
      </c>
      <c r="D31" s="22" t="s">
        <v>209</v>
      </c>
      <c r="E31" s="28" t="s">
        <v>33</v>
      </c>
      <c r="F31" s="18" t="s">
        <v>71</v>
      </c>
      <c r="G31" s="18" t="s">
        <v>210</v>
      </c>
      <c r="H31" s="22" t="s">
        <v>211</v>
      </c>
    </row>
    <row r="32" customFormat="false" ht="29.85" hidden="false" customHeight="false" outlineLevel="0" collapsed="false">
      <c r="A32" s="15" t="s">
        <v>212</v>
      </c>
      <c r="B32" s="21" t="s">
        <v>43</v>
      </c>
      <c r="C32" s="21" t="s">
        <v>213</v>
      </c>
      <c r="D32" s="21" t="s">
        <v>214</v>
      </c>
      <c r="E32" s="28" t="s">
        <v>33</v>
      </c>
      <c r="F32" s="15" t="s">
        <v>71</v>
      </c>
      <c r="G32" s="15" t="s">
        <v>215</v>
      </c>
      <c r="H32" s="21" t="s">
        <v>216</v>
      </c>
    </row>
    <row r="33" customFormat="false" ht="29.85" hidden="false" customHeight="false" outlineLevel="0" collapsed="false">
      <c r="A33" s="18" t="s">
        <v>217</v>
      </c>
      <c r="B33" s="22" t="s">
        <v>44</v>
      </c>
      <c r="C33" s="22" t="s">
        <v>218</v>
      </c>
      <c r="D33" s="22" t="s">
        <v>219</v>
      </c>
      <c r="E33" s="27" t="s">
        <v>32</v>
      </c>
      <c r="F33" s="18" t="s">
        <v>71</v>
      </c>
      <c r="G33" s="18" t="s">
        <v>220</v>
      </c>
      <c r="H33" s="22" t="s">
        <v>221</v>
      </c>
    </row>
    <row r="34" customFormat="false" ht="29.85" hidden="false" customHeight="false" outlineLevel="0" collapsed="false">
      <c r="A34" s="15" t="s">
        <v>222</v>
      </c>
      <c r="B34" s="21" t="s">
        <v>44</v>
      </c>
      <c r="C34" s="21" t="s">
        <v>223</v>
      </c>
      <c r="D34" s="21" t="s">
        <v>224</v>
      </c>
      <c r="E34" s="27" t="s">
        <v>32</v>
      </c>
      <c r="F34" s="15" t="s">
        <v>71</v>
      </c>
      <c r="G34" s="15" t="s">
        <v>225</v>
      </c>
      <c r="H34" s="21" t="s">
        <v>226</v>
      </c>
    </row>
    <row r="35" customFormat="false" ht="15" hidden="false" customHeight="false" outlineLevel="0" collapsed="false">
      <c r="A35" s="18" t="s">
        <v>227</v>
      </c>
      <c r="B35" s="22" t="s">
        <v>44</v>
      </c>
      <c r="C35" s="22" t="s">
        <v>228</v>
      </c>
      <c r="D35" s="22" t="s">
        <v>229</v>
      </c>
      <c r="E35" s="28" t="s">
        <v>33</v>
      </c>
      <c r="F35" s="18" t="s">
        <v>71</v>
      </c>
      <c r="G35" s="18" t="s">
        <v>230</v>
      </c>
      <c r="H35" s="22" t="s">
        <v>231</v>
      </c>
    </row>
    <row r="36" customFormat="false" ht="23.85" hidden="false" customHeight="false" outlineLevel="0" collapsed="false">
      <c r="A36" s="15" t="s">
        <v>232</v>
      </c>
      <c r="B36" s="21" t="s">
        <v>44</v>
      </c>
      <c r="C36" s="21" t="s">
        <v>233</v>
      </c>
      <c r="D36" s="21" t="s">
        <v>234</v>
      </c>
      <c r="E36" s="27" t="s">
        <v>32</v>
      </c>
      <c r="F36" s="15" t="s">
        <v>71</v>
      </c>
      <c r="G36" s="15" t="s">
        <v>235</v>
      </c>
      <c r="H36" s="21" t="s">
        <v>236</v>
      </c>
    </row>
    <row r="37" customFormat="false" ht="15" hidden="false" customHeight="false" outlineLevel="0" collapsed="false">
      <c r="A37" s="18" t="s">
        <v>237</v>
      </c>
      <c r="B37" s="22" t="s">
        <v>44</v>
      </c>
      <c r="C37" s="22" t="s">
        <v>238</v>
      </c>
      <c r="D37" s="22" t="s">
        <v>239</v>
      </c>
      <c r="E37" s="27" t="s">
        <v>32</v>
      </c>
      <c r="F37" s="18" t="s">
        <v>71</v>
      </c>
      <c r="G37" s="18" t="s">
        <v>240</v>
      </c>
      <c r="H37" s="22" t="s">
        <v>241</v>
      </c>
    </row>
    <row r="38" customFormat="false" ht="29.85" hidden="false" customHeight="false" outlineLevel="0" collapsed="false">
      <c r="A38" s="15" t="s">
        <v>242</v>
      </c>
      <c r="B38" s="21" t="s">
        <v>44</v>
      </c>
      <c r="C38" s="21" t="s">
        <v>243</v>
      </c>
      <c r="D38" s="21" t="s">
        <v>244</v>
      </c>
      <c r="E38" s="28" t="s">
        <v>33</v>
      </c>
      <c r="F38" s="15" t="s">
        <v>71</v>
      </c>
      <c r="G38" s="15" t="s">
        <v>245</v>
      </c>
      <c r="H38" s="21" t="s">
        <v>246</v>
      </c>
    </row>
    <row r="39" customFormat="false" ht="29.85" hidden="false" customHeight="false" outlineLevel="0" collapsed="false">
      <c r="A39" s="18" t="s">
        <v>247</v>
      </c>
      <c r="B39" s="22" t="s">
        <v>44</v>
      </c>
      <c r="C39" s="18" t="s">
        <v>248</v>
      </c>
      <c r="D39" s="22" t="s">
        <v>249</v>
      </c>
      <c r="E39" s="28" t="s">
        <v>33</v>
      </c>
      <c r="F39" s="18" t="s">
        <v>71</v>
      </c>
      <c r="G39" s="18" t="s">
        <v>250</v>
      </c>
      <c r="H39" s="22" t="s">
        <v>251</v>
      </c>
    </row>
    <row r="40" customFormat="false" ht="29.85" hidden="false" customHeight="false" outlineLevel="0" collapsed="false">
      <c r="A40" s="15" t="s">
        <v>252</v>
      </c>
      <c r="B40" s="21" t="s">
        <v>44</v>
      </c>
      <c r="C40" s="21" t="s">
        <v>253</v>
      </c>
      <c r="D40" s="21" t="s">
        <v>254</v>
      </c>
      <c r="E40" s="29" t="s">
        <v>34</v>
      </c>
      <c r="F40" s="15" t="s">
        <v>71</v>
      </c>
      <c r="G40" s="15" t="s">
        <v>255</v>
      </c>
      <c r="H40" s="15"/>
    </row>
    <row r="41" customFormat="false" ht="29.85" hidden="false" customHeight="false" outlineLevel="0" collapsed="false">
      <c r="A41" s="18" t="s">
        <v>256</v>
      </c>
      <c r="B41" s="22" t="s">
        <v>45</v>
      </c>
      <c r="C41" s="22" t="s">
        <v>257</v>
      </c>
      <c r="D41" s="22" t="s">
        <v>258</v>
      </c>
      <c r="E41" s="27" t="s">
        <v>32</v>
      </c>
      <c r="F41" s="18" t="s">
        <v>71</v>
      </c>
      <c r="G41" s="18" t="s">
        <v>259</v>
      </c>
      <c r="H41" s="18"/>
    </row>
    <row r="42" customFormat="false" ht="29.85" hidden="false" customHeight="false" outlineLevel="0" collapsed="false">
      <c r="A42" s="15" t="s">
        <v>260</v>
      </c>
      <c r="B42" s="21" t="s">
        <v>45</v>
      </c>
      <c r="C42" s="21" t="s">
        <v>261</v>
      </c>
      <c r="D42" s="21" t="s">
        <v>262</v>
      </c>
      <c r="E42" s="27" t="s">
        <v>32</v>
      </c>
      <c r="F42" s="15" t="s">
        <v>71</v>
      </c>
      <c r="G42" s="15" t="s">
        <v>263</v>
      </c>
      <c r="H42" s="21" t="s">
        <v>264</v>
      </c>
    </row>
    <row r="43" customFormat="false" ht="29.85" hidden="false" customHeight="false" outlineLevel="0" collapsed="false">
      <c r="A43" s="18" t="s">
        <v>265</v>
      </c>
      <c r="B43" s="22" t="s">
        <v>45</v>
      </c>
      <c r="C43" s="22" t="s">
        <v>266</v>
      </c>
      <c r="D43" s="22" t="s">
        <v>267</v>
      </c>
      <c r="E43" s="28" t="s">
        <v>33</v>
      </c>
      <c r="F43" s="18" t="s">
        <v>71</v>
      </c>
      <c r="G43" s="18" t="s">
        <v>268</v>
      </c>
      <c r="H43" s="18"/>
    </row>
    <row r="44" customFormat="false" ht="15" hidden="false" customHeight="false" outlineLevel="0" collapsed="false">
      <c r="A44" s="15" t="s">
        <v>269</v>
      </c>
      <c r="B44" s="21" t="s">
        <v>45</v>
      </c>
      <c r="C44" s="21" t="s">
        <v>270</v>
      </c>
      <c r="D44" s="21" t="s">
        <v>271</v>
      </c>
      <c r="E44" s="28" t="s">
        <v>33</v>
      </c>
      <c r="F44" s="15" t="s">
        <v>71</v>
      </c>
      <c r="G44" s="21" t="s">
        <v>272</v>
      </c>
      <c r="H44" s="21" t="s">
        <v>273</v>
      </c>
    </row>
    <row r="45" customFormat="false" ht="29.85" hidden="false" customHeight="false" outlineLevel="0" collapsed="false">
      <c r="A45" s="18" t="s">
        <v>274</v>
      </c>
      <c r="B45" s="22" t="s">
        <v>45</v>
      </c>
      <c r="C45" s="22" t="s">
        <v>275</v>
      </c>
      <c r="D45" s="22" t="s">
        <v>276</v>
      </c>
      <c r="E45" s="28" t="s">
        <v>33</v>
      </c>
      <c r="F45" s="18" t="s">
        <v>71</v>
      </c>
      <c r="G45" s="18" t="s">
        <v>277</v>
      </c>
      <c r="H45" s="18" t="s">
        <v>278</v>
      </c>
    </row>
    <row r="46" customFormat="false" ht="29.85" hidden="false" customHeight="false" outlineLevel="0" collapsed="false">
      <c r="A46" s="15" t="s">
        <v>279</v>
      </c>
      <c r="B46" s="21" t="s">
        <v>45</v>
      </c>
      <c r="C46" s="21" t="s">
        <v>280</v>
      </c>
      <c r="D46" s="21" t="s">
        <v>281</v>
      </c>
      <c r="E46" s="28" t="s">
        <v>33</v>
      </c>
      <c r="F46" s="15" t="s">
        <v>71</v>
      </c>
      <c r="G46" s="15" t="s">
        <v>282</v>
      </c>
      <c r="H46" s="21" t="s">
        <v>283</v>
      </c>
    </row>
    <row r="47" customFormat="false" ht="15" hidden="false" customHeight="false" outlineLevel="0" collapsed="false">
      <c r="A47" s="18" t="s">
        <v>284</v>
      </c>
      <c r="B47" s="22" t="s">
        <v>45</v>
      </c>
      <c r="C47" s="22" t="s">
        <v>285</v>
      </c>
      <c r="D47" s="22" t="s">
        <v>286</v>
      </c>
      <c r="E47" s="29" t="s">
        <v>34</v>
      </c>
      <c r="F47" s="18" t="s">
        <v>71</v>
      </c>
      <c r="G47" s="18" t="s">
        <v>259</v>
      </c>
      <c r="H47" s="22" t="s">
        <v>287</v>
      </c>
    </row>
    <row r="48" customFormat="false" ht="15" hidden="false" customHeight="false" outlineLevel="0" collapsed="false">
      <c r="A48" s="15" t="s">
        <v>288</v>
      </c>
      <c r="B48" s="21" t="s">
        <v>45</v>
      </c>
      <c r="C48" s="21" t="s">
        <v>289</v>
      </c>
      <c r="D48" s="21" t="s">
        <v>290</v>
      </c>
      <c r="E48" s="29" t="s">
        <v>34</v>
      </c>
      <c r="F48" s="15" t="s">
        <v>71</v>
      </c>
      <c r="G48" s="15" t="s">
        <v>282</v>
      </c>
      <c r="H48" s="21" t="s">
        <v>291</v>
      </c>
    </row>
    <row r="49" customFormat="false" ht="29.85" hidden="false" customHeight="false" outlineLevel="0" collapsed="false">
      <c r="A49" s="18" t="s">
        <v>292</v>
      </c>
      <c r="B49" s="22" t="s">
        <v>46</v>
      </c>
      <c r="C49" s="18" t="s">
        <v>293</v>
      </c>
      <c r="D49" s="22" t="s">
        <v>294</v>
      </c>
      <c r="E49" s="27" t="s">
        <v>32</v>
      </c>
      <c r="F49" s="18" t="s">
        <v>71</v>
      </c>
      <c r="G49" s="18" t="s">
        <v>295</v>
      </c>
      <c r="H49" s="18" t="s">
        <v>296</v>
      </c>
    </row>
    <row r="50" customFormat="false" ht="15" hidden="false" customHeight="false" outlineLevel="0" collapsed="false">
      <c r="A50" s="15" t="s">
        <v>297</v>
      </c>
      <c r="B50" s="21" t="s">
        <v>46</v>
      </c>
      <c r="C50" s="21" t="s">
        <v>298</v>
      </c>
      <c r="D50" s="21" t="s">
        <v>299</v>
      </c>
      <c r="E50" s="28" t="s">
        <v>33</v>
      </c>
      <c r="F50" s="15" t="s">
        <v>71</v>
      </c>
      <c r="G50" s="15" t="s">
        <v>82</v>
      </c>
      <c r="H50" s="21" t="s">
        <v>300</v>
      </c>
    </row>
    <row r="51" customFormat="false" ht="29.85" hidden="false" customHeight="false" outlineLevel="0" collapsed="false">
      <c r="A51" s="18" t="s">
        <v>301</v>
      </c>
      <c r="B51" s="22" t="s">
        <v>46</v>
      </c>
      <c r="C51" s="18" t="s">
        <v>302</v>
      </c>
      <c r="D51" s="22" t="s">
        <v>303</v>
      </c>
      <c r="E51" s="27" t="s">
        <v>32</v>
      </c>
      <c r="F51" s="18" t="s">
        <v>71</v>
      </c>
      <c r="G51" s="18" t="s">
        <v>304</v>
      </c>
      <c r="H51" s="18" t="s">
        <v>305</v>
      </c>
    </row>
    <row r="52" customFormat="false" ht="29.85" hidden="false" customHeight="false" outlineLevel="0" collapsed="false">
      <c r="A52" s="15" t="s">
        <v>306</v>
      </c>
      <c r="B52" s="21" t="s">
        <v>46</v>
      </c>
      <c r="C52" s="15" t="s">
        <v>307</v>
      </c>
      <c r="D52" s="21" t="s">
        <v>308</v>
      </c>
      <c r="E52" s="27" t="s">
        <v>32</v>
      </c>
      <c r="F52" s="15" t="s">
        <v>71</v>
      </c>
      <c r="G52" s="15" t="s">
        <v>309</v>
      </c>
      <c r="H52" s="21" t="s">
        <v>310</v>
      </c>
    </row>
    <row r="53" customFormat="false" ht="29.85" hidden="false" customHeight="false" outlineLevel="0" collapsed="false">
      <c r="A53" s="18" t="s">
        <v>311</v>
      </c>
      <c r="B53" s="22" t="s">
        <v>46</v>
      </c>
      <c r="C53" s="22" t="s">
        <v>312</v>
      </c>
      <c r="D53" s="22" t="s">
        <v>313</v>
      </c>
      <c r="E53" s="27" t="s">
        <v>32</v>
      </c>
      <c r="F53" s="18" t="s">
        <v>71</v>
      </c>
      <c r="G53" s="18" t="s">
        <v>314</v>
      </c>
      <c r="H53" s="22" t="s">
        <v>315</v>
      </c>
    </row>
    <row r="54" customFormat="false" ht="29.85" hidden="false" customHeight="false" outlineLevel="0" collapsed="false">
      <c r="A54" s="15" t="s">
        <v>316</v>
      </c>
      <c r="B54" s="21" t="s">
        <v>47</v>
      </c>
      <c r="C54" s="15" t="s">
        <v>317</v>
      </c>
      <c r="D54" s="21" t="s">
        <v>318</v>
      </c>
      <c r="E54" s="27" t="s">
        <v>32</v>
      </c>
      <c r="F54" s="15" t="s">
        <v>71</v>
      </c>
      <c r="G54" s="15" t="s">
        <v>319</v>
      </c>
      <c r="H54" s="15" t="s">
        <v>320</v>
      </c>
    </row>
    <row r="55" customFormat="false" ht="29.85" hidden="false" customHeight="false" outlineLevel="0" collapsed="false">
      <c r="A55" s="18" t="s">
        <v>321</v>
      </c>
      <c r="B55" s="22" t="s">
        <v>47</v>
      </c>
      <c r="C55" s="22" t="s">
        <v>322</v>
      </c>
      <c r="D55" s="22" t="s">
        <v>323</v>
      </c>
      <c r="E55" s="27" t="s">
        <v>32</v>
      </c>
      <c r="F55" s="18" t="s">
        <v>71</v>
      </c>
      <c r="G55" s="18" t="s">
        <v>324</v>
      </c>
      <c r="H55" s="22" t="s">
        <v>325</v>
      </c>
    </row>
    <row r="56" customFormat="false" ht="15" hidden="false" customHeight="false" outlineLevel="0" collapsed="false">
      <c r="A56" s="15" t="s">
        <v>326</v>
      </c>
      <c r="B56" s="21" t="s">
        <v>47</v>
      </c>
      <c r="C56" s="15" t="s">
        <v>327</v>
      </c>
      <c r="D56" s="21" t="s">
        <v>328</v>
      </c>
      <c r="E56" s="28" t="s">
        <v>33</v>
      </c>
      <c r="F56" s="15" t="s">
        <v>71</v>
      </c>
      <c r="G56" s="15" t="s">
        <v>329</v>
      </c>
      <c r="H56" s="15"/>
    </row>
    <row r="57" customFormat="false" ht="29.85" hidden="false" customHeight="false" outlineLevel="0" collapsed="false">
      <c r="A57" s="18" t="s">
        <v>330</v>
      </c>
      <c r="B57" s="22" t="s">
        <v>47</v>
      </c>
      <c r="C57" s="22" t="s">
        <v>331</v>
      </c>
      <c r="D57" s="22" t="s">
        <v>332</v>
      </c>
      <c r="E57" s="27" t="s">
        <v>32</v>
      </c>
      <c r="F57" s="18" t="s">
        <v>71</v>
      </c>
      <c r="G57" s="18" t="s">
        <v>333</v>
      </c>
      <c r="H57" s="18" t="s">
        <v>334</v>
      </c>
    </row>
    <row r="58" customFormat="false" ht="29.85" hidden="false" customHeight="false" outlineLevel="0" collapsed="false">
      <c r="A58" s="15" t="s">
        <v>335</v>
      </c>
      <c r="B58" s="21" t="s">
        <v>47</v>
      </c>
      <c r="C58" s="15" t="s">
        <v>336</v>
      </c>
      <c r="D58" s="21" t="s">
        <v>337</v>
      </c>
      <c r="E58" s="28" t="s">
        <v>33</v>
      </c>
      <c r="F58" s="15" t="s">
        <v>71</v>
      </c>
      <c r="G58" s="15" t="s">
        <v>338</v>
      </c>
      <c r="H58" s="21" t="s">
        <v>339</v>
      </c>
    </row>
    <row r="59" customFormat="false" ht="15" hidden="false" customHeight="false" outlineLevel="0" collapsed="false">
      <c r="A59" s="18" t="s">
        <v>340</v>
      </c>
      <c r="B59" s="22" t="s">
        <v>48</v>
      </c>
      <c r="C59" s="22" t="s">
        <v>341</v>
      </c>
      <c r="D59" s="22" t="s">
        <v>342</v>
      </c>
      <c r="E59" s="28" t="s">
        <v>33</v>
      </c>
      <c r="F59" s="18" t="s">
        <v>71</v>
      </c>
      <c r="G59" s="18" t="s">
        <v>343</v>
      </c>
      <c r="H59" s="18"/>
    </row>
    <row r="60" customFormat="false" ht="15" hidden="false" customHeight="false" outlineLevel="0" collapsed="false">
      <c r="A60" s="15" t="s">
        <v>344</v>
      </c>
      <c r="B60" s="21" t="s">
        <v>48</v>
      </c>
      <c r="C60" s="21" t="s">
        <v>345</v>
      </c>
      <c r="D60" s="21" t="s">
        <v>346</v>
      </c>
      <c r="E60" s="29" t="s">
        <v>34</v>
      </c>
      <c r="F60" s="15" t="s">
        <v>71</v>
      </c>
      <c r="G60" s="15" t="s">
        <v>347</v>
      </c>
      <c r="H60" s="15"/>
    </row>
  </sheetData>
  <autoFilter ref="A1:H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44"/>
  </cols>
  <sheetData>
    <row r="1" customFormat="false" ht="21.75" hidden="false" customHeight="true" outlineLevel="0" collapsed="false">
      <c r="A1" s="26" t="s">
        <v>348</v>
      </c>
      <c r="B1" s="26" t="s">
        <v>349</v>
      </c>
      <c r="C1" s="14" t="s">
        <v>37</v>
      </c>
      <c r="D1" s="14" t="s">
        <v>36</v>
      </c>
      <c r="E1" s="14" t="s">
        <v>350</v>
      </c>
    </row>
    <row r="2" customFormat="false" ht="15" hidden="false" customHeight="false" outlineLevel="0" collapsed="false">
      <c r="A2" s="29" t="s">
        <v>351</v>
      </c>
      <c r="B2" s="15" t="s">
        <v>352</v>
      </c>
      <c r="C2" s="21" t="s">
        <v>353</v>
      </c>
      <c r="D2" s="15" t="s">
        <v>354</v>
      </c>
      <c r="E2" s="15" t="s">
        <v>355</v>
      </c>
    </row>
    <row r="3" customFormat="false" ht="15" hidden="false" customHeight="false" outlineLevel="0" collapsed="false">
      <c r="A3" s="29" t="s">
        <v>351</v>
      </c>
      <c r="B3" s="18" t="s">
        <v>356</v>
      </c>
      <c r="C3" s="22" t="s">
        <v>353</v>
      </c>
      <c r="D3" s="18" t="s">
        <v>354</v>
      </c>
      <c r="E3" s="18" t="s">
        <v>357</v>
      </c>
    </row>
    <row r="4" customFormat="false" ht="15" hidden="false" customHeight="false" outlineLevel="0" collapsed="false">
      <c r="A4" s="29" t="s">
        <v>351</v>
      </c>
      <c r="B4" s="15" t="s">
        <v>358</v>
      </c>
      <c r="C4" s="21" t="s">
        <v>353</v>
      </c>
      <c r="D4" s="15" t="s">
        <v>354</v>
      </c>
      <c r="E4" s="21" t="s">
        <v>359</v>
      </c>
    </row>
    <row r="5" customFormat="false" ht="15" hidden="false" customHeight="false" outlineLevel="0" collapsed="false">
      <c r="A5" s="30" t="s">
        <v>360</v>
      </c>
      <c r="B5" s="18" t="s">
        <v>361</v>
      </c>
      <c r="C5" s="22" t="s">
        <v>353</v>
      </c>
      <c r="D5" s="18" t="s">
        <v>362</v>
      </c>
      <c r="E5" s="22" t="s">
        <v>363</v>
      </c>
    </row>
    <row r="6" customFormat="false" ht="15" hidden="false" customHeight="false" outlineLevel="0" collapsed="false">
      <c r="A6" s="30" t="s">
        <v>360</v>
      </c>
      <c r="B6" s="15" t="s">
        <v>364</v>
      </c>
      <c r="C6" s="21" t="s">
        <v>353</v>
      </c>
      <c r="D6" s="15" t="s">
        <v>362</v>
      </c>
      <c r="E6" s="21" t="s">
        <v>365</v>
      </c>
    </row>
    <row r="7" customFormat="false" ht="15" hidden="false" customHeight="false" outlineLevel="0" collapsed="false">
      <c r="A7" s="30" t="s">
        <v>360</v>
      </c>
      <c r="B7" s="18" t="s">
        <v>366</v>
      </c>
      <c r="C7" s="22" t="s">
        <v>367</v>
      </c>
      <c r="D7" s="18" t="s">
        <v>362</v>
      </c>
      <c r="E7" s="22" t="s">
        <v>368</v>
      </c>
    </row>
    <row r="8" customFormat="false" ht="15" hidden="false" customHeight="false" outlineLevel="0" collapsed="false">
      <c r="A8" s="29" t="s">
        <v>351</v>
      </c>
      <c r="B8" s="15" t="s">
        <v>369</v>
      </c>
      <c r="C8" s="21" t="s">
        <v>367</v>
      </c>
      <c r="D8" s="15" t="s">
        <v>362</v>
      </c>
      <c r="E8" s="21" t="s">
        <v>370</v>
      </c>
    </row>
    <row r="9" customFormat="false" ht="15" hidden="false" customHeight="false" outlineLevel="0" collapsed="false">
      <c r="A9" s="29" t="s">
        <v>351</v>
      </c>
      <c r="B9" s="18" t="s">
        <v>371</v>
      </c>
      <c r="C9" s="22" t="s">
        <v>353</v>
      </c>
      <c r="D9" s="18" t="s">
        <v>362</v>
      </c>
      <c r="E9" s="22" t="s">
        <v>372</v>
      </c>
    </row>
    <row r="10" customFormat="false" ht="15" hidden="false" customHeight="false" outlineLevel="0" collapsed="false">
      <c r="A10" s="30" t="s">
        <v>360</v>
      </c>
      <c r="B10" s="15" t="s">
        <v>373</v>
      </c>
      <c r="C10" s="21" t="s">
        <v>353</v>
      </c>
      <c r="D10" s="15" t="s">
        <v>362</v>
      </c>
      <c r="E10" s="21" t="s">
        <v>374</v>
      </c>
    </row>
    <row r="11" customFormat="false" ht="15" hidden="false" customHeight="false" outlineLevel="0" collapsed="false">
      <c r="A11" s="30" t="s">
        <v>360</v>
      </c>
      <c r="B11" s="18" t="s">
        <v>375</v>
      </c>
      <c r="C11" s="22" t="s">
        <v>367</v>
      </c>
      <c r="D11" s="18" t="s">
        <v>362</v>
      </c>
      <c r="E11" s="22" t="s">
        <v>95</v>
      </c>
    </row>
    <row r="12" customFormat="false" ht="15" hidden="false" customHeight="false" outlineLevel="0" collapsed="false">
      <c r="A12" s="30" t="s">
        <v>360</v>
      </c>
      <c r="B12" s="15" t="s">
        <v>376</v>
      </c>
      <c r="C12" s="21" t="s">
        <v>367</v>
      </c>
      <c r="D12" s="15" t="s">
        <v>362</v>
      </c>
      <c r="E12" s="21" t="s">
        <v>377</v>
      </c>
    </row>
    <row r="13" customFormat="false" ht="15" hidden="false" customHeight="false" outlineLevel="0" collapsed="false">
      <c r="A13" s="27" t="s">
        <v>378</v>
      </c>
      <c r="B13" s="18" t="s">
        <v>369</v>
      </c>
      <c r="C13" s="22" t="s">
        <v>367</v>
      </c>
      <c r="D13" s="18" t="s">
        <v>362</v>
      </c>
      <c r="E13" s="22" t="s">
        <v>105</v>
      </c>
    </row>
    <row r="14" customFormat="false" ht="15" hidden="false" customHeight="false" outlineLevel="0" collapsed="false">
      <c r="A14" s="30" t="s">
        <v>360</v>
      </c>
      <c r="B14" s="15" t="s">
        <v>379</v>
      </c>
      <c r="C14" s="21" t="s">
        <v>367</v>
      </c>
      <c r="D14" s="15" t="s">
        <v>380</v>
      </c>
      <c r="E14" s="21" t="s">
        <v>381</v>
      </c>
    </row>
    <row r="15" customFormat="false" ht="15" hidden="false" customHeight="false" outlineLevel="0" collapsed="false">
      <c r="A15" s="29" t="s">
        <v>351</v>
      </c>
      <c r="B15" s="18" t="s">
        <v>379</v>
      </c>
      <c r="C15" s="22" t="s">
        <v>367</v>
      </c>
      <c r="D15" s="18" t="s">
        <v>380</v>
      </c>
      <c r="E15" s="22" t="s">
        <v>382</v>
      </c>
    </row>
    <row r="16" customFormat="false" ht="15" hidden="false" customHeight="false" outlineLevel="0" collapsed="false">
      <c r="A16" s="29" t="s">
        <v>351</v>
      </c>
      <c r="B16" s="15" t="s">
        <v>383</v>
      </c>
      <c r="C16" s="21" t="s">
        <v>367</v>
      </c>
      <c r="D16" s="15" t="s">
        <v>380</v>
      </c>
      <c r="E16" s="21" t="s">
        <v>384</v>
      </c>
    </row>
    <row r="17" customFormat="false" ht="15" hidden="false" customHeight="false" outlineLevel="0" collapsed="false">
      <c r="A17" s="28" t="s">
        <v>385</v>
      </c>
      <c r="B17" s="18" t="s">
        <v>383</v>
      </c>
      <c r="C17" s="22" t="s">
        <v>367</v>
      </c>
      <c r="D17" s="18" t="s">
        <v>380</v>
      </c>
      <c r="E17" s="22" t="s">
        <v>386</v>
      </c>
    </row>
    <row r="18" customFormat="false" ht="15" hidden="false" customHeight="false" outlineLevel="0" collapsed="false">
      <c r="A18" s="27" t="s">
        <v>378</v>
      </c>
      <c r="B18" s="15" t="s">
        <v>383</v>
      </c>
      <c r="C18" s="21" t="s">
        <v>367</v>
      </c>
      <c r="D18" s="15" t="s">
        <v>380</v>
      </c>
      <c r="E18" s="21" t="s">
        <v>387</v>
      </c>
    </row>
    <row r="19" customFormat="false" ht="15" hidden="false" customHeight="false" outlineLevel="0" collapsed="false">
      <c r="A19" s="29" t="s">
        <v>351</v>
      </c>
      <c r="B19" s="18" t="s">
        <v>388</v>
      </c>
      <c r="C19" s="22" t="s">
        <v>367</v>
      </c>
      <c r="D19" s="18" t="s">
        <v>380</v>
      </c>
      <c r="E19" s="22" t="s">
        <v>125</v>
      </c>
    </row>
    <row r="20" customFormat="false" ht="15" hidden="false" customHeight="false" outlineLevel="0" collapsed="false">
      <c r="A20" s="29" t="s">
        <v>351</v>
      </c>
      <c r="B20" s="15" t="s">
        <v>389</v>
      </c>
      <c r="C20" s="21" t="s">
        <v>367</v>
      </c>
      <c r="D20" s="15" t="s">
        <v>380</v>
      </c>
      <c r="E20" s="21" t="s">
        <v>390</v>
      </c>
    </row>
    <row r="21" customFormat="false" ht="15" hidden="false" customHeight="false" outlineLevel="0" collapsed="false">
      <c r="A21" s="30" t="s">
        <v>360</v>
      </c>
      <c r="B21" s="18" t="s">
        <v>391</v>
      </c>
      <c r="C21" s="22" t="s">
        <v>367</v>
      </c>
      <c r="D21" s="18" t="s">
        <v>392</v>
      </c>
      <c r="E21" s="22" t="s">
        <v>393</v>
      </c>
    </row>
    <row r="22" customFormat="false" ht="15" hidden="false" customHeight="false" outlineLevel="0" collapsed="false">
      <c r="A22" s="29" t="s">
        <v>351</v>
      </c>
      <c r="B22" s="15" t="s">
        <v>391</v>
      </c>
      <c r="C22" s="21" t="s">
        <v>367</v>
      </c>
      <c r="D22" s="15" t="s">
        <v>392</v>
      </c>
      <c r="E22" s="21" t="s">
        <v>394</v>
      </c>
    </row>
    <row r="23" customFormat="false" ht="15" hidden="false" customHeight="false" outlineLevel="0" collapsed="false">
      <c r="A23" s="29" t="s">
        <v>351</v>
      </c>
      <c r="B23" s="18" t="s">
        <v>395</v>
      </c>
      <c r="C23" s="22" t="s">
        <v>367</v>
      </c>
      <c r="D23" s="18" t="s">
        <v>396</v>
      </c>
      <c r="E23" s="22" t="s">
        <v>397</v>
      </c>
    </row>
    <row r="24" customFormat="false" ht="15" hidden="false" customHeight="false" outlineLevel="0" collapsed="false">
      <c r="A24" s="29" t="s">
        <v>351</v>
      </c>
      <c r="B24" s="15" t="s">
        <v>398</v>
      </c>
      <c r="C24" s="21" t="s">
        <v>367</v>
      </c>
      <c r="D24" s="15" t="s">
        <v>399</v>
      </c>
      <c r="E24" s="15" t="s">
        <v>400</v>
      </c>
    </row>
    <row r="25" customFormat="false" ht="15" hidden="false" customHeight="false" outlineLevel="0" collapsed="false">
      <c r="A25" s="29" t="s">
        <v>351</v>
      </c>
      <c r="B25" s="18" t="s">
        <v>401</v>
      </c>
      <c r="C25" s="22" t="s">
        <v>367</v>
      </c>
      <c r="D25" s="18" t="s">
        <v>399</v>
      </c>
      <c r="E25" s="18" t="s">
        <v>402</v>
      </c>
    </row>
    <row r="26" customFormat="false" ht="15" hidden="false" customHeight="false" outlineLevel="0" collapsed="false">
      <c r="A26" s="29" t="s">
        <v>351</v>
      </c>
      <c r="B26" s="15" t="s">
        <v>403</v>
      </c>
      <c r="C26" s="21" t="s">
        <v>367</v>
      </c>
      <c r="D26" s="15" t="s">
        <v>404</v>
      </c>
      <c r="E26" s="15" t="s">
        <v>405</v>
      </c>
    </row>
    <row r="27" customFormat="false" ht="15" hidden="false" customHeight="false" outlineLevel="0" collapsed="false">
      <c r="A27" s="29" t="s">
        <v>351</v>
      </c>
      <c r="B27" s="18" t="s">
        <v>406</v>
      </c>
      <c r="C27" s="22" t="s">
        <v>367</v>
      </c>
      <c r="D27" s="18" t="s">
        <v>404</v>
      </c>
      <c r="E27" s="22" t="s">
        <v>407</v>
      </c>
    </row>
    <row r="28" customFormat="false" ht="15" hidden="false" customHeight="false" outlineLevel="0" collapsed="false">
      <c r="A28" s="29" t="s">
        <v>351</v>
      </c>
      <c r="B28" s="15" t="s">
        <v>408</v>
      </c>
      <c r="C28" s="21" t="s">
        <v>367</v>
      </c>
      <c r="D28" s="15" t="s">
        <v>404</v>
      </c>
      <c r="E28" s="21" t="s">
        <v>170</v>
      </c>
    </row>
    <row r="29" customFormat="false" ht="15" hidden="false" customHeight="false" outlineLevel="0" collapsed="false">
      <c r="A29" s="29" t="s">
        <v>351</v>
      </c>
      <c r="B29" s="18" t="s">
        <v>409</v>
      </c>
      <c r="C29" s="22" t="s">
        <v>367</v>
      </c>
      <c r="D29" s="18" t="s">
        <v>404</v>
      </c>
      <c r="E29" s="22" t="s">
        <v>410</v>
      </c>
    </row>
    <row r="30" customFormat="false" ht="15" hidden="false" customHeight="false" outlineLevel="0" collapsed="false">
      <c r="A30" s="29" t="s">
        <v>351</v>
      </c>
      <c r="B30" s="15" t="s">
        <v>411</v>
      </c>
      <c r="C30" s="21" t="s">
        <v>367</v>
      </c>
      <c r="D30" s="15" t="s">
        <v>404</v>
      </c>
      <c r="E30" s="21" t="s">
        <v>412</v>
      </c>
    </row>
    <row r="31" customFormat="false" ht="15" hidden="false" customHeight="false" outlineLevel="0" collapsed="false">
      <c r="A31" s="29" t="s">
        <v>351</v>
      </c>
      <c r="B31" s="18" t="s">
        <v>413</v>
      </c>
      <c r="C31" s="22" t="s">
        <v>367</v>
      </c>
      <c r="D31" s="18" t="s">
        <v>404</v>
      </c>
      <c r="E31" s="22" t="s">
        <v>414</v>
      </c>
    </row>
    <row r="32" customFormat="false" ht="15" hidden="false" customHeight="false" outlineLevel="0" collapsed="false">
      <c r="A32" s="29" t="s">
        <v>351</v>
      </c>
      <c r="B32" s="15" t="s">
        <v>415</v>
      </c>
      <c r="C32" s="21" t="s">
        <v>367</v>
      </c>
      <c r="D32" s="15" t="s">
        <v>404</v>
      </c>
      <c r="E32" s="21" t="s">
        <v>416</v>
      </c>
    </row>
    <row r="33" customFormat="false" ht="15" hidden="false" customHeight="false" outlineLevel="0" collapsed="false">
      <c r="A33" s="29" t="s">
        <v>351</v>
      </c>
      <c r="B33" s="18" t="s">
        <v>417</v>
      </c>
      <c r="C33" s="22" t="s">
        <v>367</v>
      </c>
      <c r="D33" s="18" t="s">
        <v>418</v>
      </c>
      <c r="E33" s="22" t="s">
        <v>419</v>
      </c>
    </row>
    <row r="34" customFormat="false" ht="15" hidden="false" customHeight="false" outlineLevel="0" collapsed="false">
      <c r="A34" s="29" t="s">
        <v>351</v>
      </c>
      <c r="B34" s="15" t="s">
        <v>420</v>
      </c>
      <c r="C34" s="21" t="s">
        <v>367</v>
      </c>
      <c r="D34" s="15" t="s">
        <v>418</v>
      </c>
      <c r="E34" s="21" t="s">
        <v>421</v>
      </c>
    </row>
    <row r="35" customFormat="false" ht="15" hidden="false" customHeight="false" outlineLevel="0" collapsed="false">
      <c r="A35" s="30" t="s">
        <v>360</v>
      </c>
      <c r="B35" s="18" t="s">
        <v>422</v>
      </c>
      <c r="C35" s="22" t="s">
        <v>367</v>
      </c>
      <c r="D35" s="18" t="s">
        <v>418</v>
      </c>
      <c r="E35" s="18" t="s">
        <v>423</v>
      </c>
    </row>
    <row r="36" customFormat="false" ht="15" hidden="false" customHeight="false" outlineLevel="0" collapsed="false">
      <c r="A36" s="30" t="s">
        <v>360</v>
      </c>
      <c r="B36" s="15" t="s">
        <v>424</v>
      </c>
      <c r="C36" s="21" t="s">
        <v>367</v>
      </c>
      <c r="D36" s="15" t="s">
        <v>418</v>
      </c>
      <c r="E36" s="15" t="s">
        <v>425</v>
      </c>
    </row>
    <row r="37" customFormat="false" ht="15" hidden="false" customHeight="false" outlineLevel="0" collapsed="false">
      <c r="A37" s="29" t="s">
        <v>351</v>
      </c>
      <c r="B37" s="18" t="s">
        <v>426</v>
      </c>
      <c r="C37" s="22" t="s">
        <v>367</v>
      </c>
      <c r="D37" s="18" t="s">
        <v>427</v>
      </c>
      <c r="E37" s="18" t="s">
        <v>428</v>
      </c>
    </row>
    <row r="38" customFormat="false" ht="15" hidden="false" customHeight="false" outlineLevel="0" collapsed="false">
      <c r="A38" s="30" t="s">
        <v>360</v>
      </c>
      <c r="B38" s="15" t="s">
        <v>429</v>
      </c>
      <c r="C38" s="21" t="s">
        <v>367</v>
      </c>
      <c r="D38" s="15" t="s">
        <v>427</v>
      </c>
      <c r="E38" s="15" t="s">
        <v>430</v>
      </c>
    </row>
    <row r="39" customFormat="false" ht="15" hidden="false" customHeight="false" outlineLevel="0" collapsed="false">
      <c r="A39" s="30" t="s">
        <v>360</v>
      </c>
      <c r="B39" s="18" t="s">
        <v>431</v>
      </c>
      <c r="C39" s="22" t="s">
        <v>367</v>
      </c>
      <c r="D39" s="18" t="s">
        <v>427</v>
      </c>
      <c r="E39" s="22" t="s">
        <v>432</v>
      </c>
    </row>
    <row r="40" customFormat="false" ht="15" hidden="false" customHeight="false" outlineLevel="0" collapsed="false">
      <c r="A40" s="30" t="s">
        <v>360</v>
      </c>
      <c r="B40" s="15" t="s">
        <v>433</v>
      </c>
      <c r="C40" s="21" t="s">
        <v>44</v>
      </c>
      <c r="D40" s="15" t="s">
        <v>427</v>
      </c>
      <c r="E40" s="21" t="s">
        <v>434</v>
      </c>
    </row>
    <row r="41" customFormat="false" ht="15" hidden="false" customHeight="false" outlineLevel="0" collapsed="false">
      <c r="A41" s="29" t="s">
        <v>351</v>
      </c>
      <c r="B41" s="18" t="s">
        <v>435</v>
      </c>
      <c r="C41" s="22" t="s">
        <v>44</v>
      </c>
      <c r="D41" s="18" t="s">
        <v>436</v>
      </c>
      <c r="E41" s="22" t="s">
        <v>437</v>
      </c>
    </row>
    <row r="42" customFormat="false" ht="15" hidden="false" customHeight="false" outlineLevel="0" collapsed="false">
      <c r="A42" s="29" t="s">
        <v>351</v>
      </c>
      <c r="B42" s="15" t="s">
        <v>438</v>
      </c>
      <c r="C42" s="21" t="s">
        <v>44</v>
      </c>
      <c r="D42" s="15" t="s">
        <v>436</v>
      </c>
      <c r="E42" s="21" t="s">
        <v>439</v>
      </c>
    </row>
    <row r="43" customFormat="false" ht="15" hidden="false" customHeight="false" outlineLevel="0" collapsed="false">
      <c r="A43" s="29" t="s">
        <v>351</v>
      </c>
      <c r="B43" s="18" t="s">
        <v>440</v>
      </c>
      <c r="C43" s="22" t="s">
        <v>44</v>
      </c>
      <c r="D43" s="18" t="s">
        <v>436</v>
      </c>
      <c r="E43" s="22" t="s">
        <v>441</v>
      </c>
    </row>
    <row r="44" customFormat="false" ht="15" hidden="false" customHeight="false" outlineLevel="0" collapsed="false">
      <c r="A44" s="29" t="s">
        <v>351</v>
      </c>
      <c r="B44" s="15" t="s">
        <v>442</v>
      </c>
      <c r="C44" s="21" t="s">
        <v>44</v>
      </c>
      <c r="D44" s="15" t="s">
        <v>436</v>
      </c>
      <c r="E44" s="21" t="s">
        <v>443</v>
      </c>
    </row>
    <row r="45" customFormat="false" ht="15" hidden="false" customHeight="false" outlineLevel="0" collapsed="false">
      <c r="A45" s="27" t="s">
        <v>378</v>
      </c>
      <c r="B45" s="18" t="s">
        <v>440</v>
      </c>
      <c r="C45" s="22" t="s">
        <v>44</v>
      </c>
      <c r="D45" s="18" t="s">
        <v>436</v>
      </c>
      <c r="E45" s="22" t="s">
        <v>444</v>
      </c>
    </row>
    <row r="46" customFormat="false" ht="15" hidden="false" customHeight="false" outlineLevel="0" collapsed="false">
      <c r="A46" s="30" t="s">
        <v>360</v>
      </c>
      <c r="B46" s="15" t="s">
        <v>445</v>
      </c>
      <c r="C46" s="21" t="s">
        <v>44</v>
      </c>
      <c r="D46" s="15" t="s">
        <v>436</v>
      </c>
      <c r="E46" s="21" t="s">
        <v>446</v>
      </c>
    </row>
    <row r="47" customFormat="false" ht="15" hidden="false" customHeight="false" outlineLevel="0" collapsed="false">
      <c r="A47" s="30" t="s">
        <v>360</v>
      </c>
      <c r="B47" s="18" t="s">
        <v>447</v>
      </c>
      <c r="C47" s="22" t="s">
        <v>44</v>
      </c>
      <c r="D47" s="18" t="s">
        <v>436</v>
      </c>
      <c r="E47" s="22" t="s">
        <v>448</v>
      </c>
    </row>
    <row r="48" customFormat="false" ht="15" hidden="false" customHeight="false" outlineLevel="0" collapsed="false">
      <c r="A48" s="29" t="s">
        <v>351</v>
      </c>
      <c r="B48" s="15" t="s">
        <v>449</v>
      </c>
      <c r="C48" s="21" t="s">
        <v>44</v>
      </c>
      <c r="D48" s="15" t="s">
        <v>436</v>
      </c>
      <c r="E48" s="21" t="s">
        <v>450</v>
      </c>
    </row>
  </sheetData>
  <autoFilter ref="A1:E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48"/>
  </cols>
  <sheetData>
    <row r="1" customFormat="false" ht="21.75" hidden="false" customHeight="true" outlineLevel="0" collapsed="false">
      <c r="A1" s="14" t="s">
        <v>451</v>
      </c>
      <c r="B1" s="14" t="s">
        <v>452</v>
      </c>
      <c r="C1" s="14" t="s">
        <v>350</v>
      </c>
    </row>
    <row r="2" customFormat="false" ht="35.05" hidden="false" customHeight="false" outlineLevel="0" collapsed="false">
      <c r="A2" s="15" t="s">
        <v>453</v>
      </c>
      <c r="B2" s="15" t="s">
        <v>454</v>
      </c>
      <c r="C2" s="21" t="s">
        <v>455</v>
      </c>
    </row>
    <row r="3" customFormat="false" ht="15" hidden="false" customHeight="false" outlineLevel="0" collapsed="false">
      <c r="A3" s="18" t="s">
        <v>456</v>
      </c>
      <c r="B3" s="18" t="s">
        <v>457</v>
      </c>
      <c r="C3" s="22" t="s">
        <v>458</v>
      </c>
    </row>
    <row r="4" customFormat="false" ht="29.85" hidden="false" customHeight="false" outlineLevel="0" collapsed="false">
      <c r="A4" s="15" t="s">
        <v>459</v>
      </c>
      <c r="B4" s="15" t="s">
        <v>460</v>
      </c>
      <c r="C4" s="21" t="s">
        <v>461</v>
      </c>
    </row>
    <row r="5" customFormat="false" ht="35.05" hidden="false" customHeight="false" outlineLevel="0" collapsed="false">
      <c r="A5" s="18" t="s">
        <v>462</v>
      </c>
      <c r="B5" s="18" t="s">
        <v>463</v>
      </c>
      <c r="C5" s="22" t="s">
        <v>464</v>
      </c>
    </row>
    <row r="6" customFormat="false" ht="29.85" hidden="false" customHeight="false" outlineLevel="0" collapsed="false">
      <c r="A6" s="15" t="s">
        <v>465</v>
      </c>
      <c r="B6" s="15" t="s">
        <v>466</v>
      </c>
      <c r="C6" s="21" t="s">
        <v>467</v>
      </c>
    </row>
    <row r="7" customFormat="false" ht="15" hidden="false" customHeight="false" outlineLevel="0" collapsed="false">
      <c r="A7" s="18" t="s">
        <v>468</v>
      </c>
      <c r="B7" s="18" t="s">
        <v>469</v>
      </c>
      <c r="C7" s="22" t="s">
        <v>470</v>
      </c>
    </row>
    <row r="8" customFormat="false" ht="15" hidden="false" customHeight="false" outlineLevel="0" collapsed="false">
      <c r="A8" s="15" t="s">
        <v>471</v>
      </c>
      <c r="B8" s="15" t="s">
        <v>472</v>
      </c>
      <c r="C8" s="15" t="s">
        <v>473</v>
      </c>
    </row>
    <row r="9" customFormat="false" ht="29.85" hidden="false" customHeight="false" outlineLevel="0" collapsed="false">
      <c r="A9" s="18" t="s">
        <v>474</v>
      </c>
      <c r="B9" s="18" t="s">
        <v>475</v>
      </c>
      <c r="C9" s="18" t="s">
        <v>476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62"/>
  </cols>
  <sheetData>
    <row r="1" customFormat="false" ht="21.75" hidden="false" customHeight="true" outlineLevel="0" collapsed="false">
      <c r="A1" s="14" t="s">
        <v>477</v>
      </c>
      <c r="B1" s="14" t="s">
        <v>478</v>
      </c>
      <c r="C1" s="14" t="s">
        <v>479</v>
      </c>
    </row>
    <row r="2" customFormat="false" ht="15" hidden="false" customHeight="false" outlineLevel="0" collapsed="false">
      <c r="A2" s="21" t="s">
        <v>46</v>
      </c>
      <c r="B2" s="21" t="s">
        <v>480</v>
      </c>
      <c r="C2" s="15" t="s">
        <v>481</v>
      </c>
    </row>
    <row r="3" customFormat="false" ht="15" hidden="false" customHeight="false" outlineLevel="0" collapsed="false">
      <c r="A3" s="22" t="s">
        <v>46</v>
      </c>
      <c r="B3" s="22" t="s">
        <v>482</v>
      </c>
      <c r="C3" s="18" t="s">
        <v>483</v>
      </c>
    </row>
    <row r="4" customFormat="false" ht="15" hidden="false" customHeight="false" outlineLevel="0" collapsed="false">
      <c r="A4" s="21" t="s">
        <v>46</v>
      </c>
      <c r="B4" s="21" t="s">
        <v>484</v>
      </c>
      <c r="C4" s="21" t="s">
        <v>485</v>
      </c>
    </row>
    <row r="5" customFormat="false" ht="15" hidden="false" customHeight="false" outlineLevel="0" collapsed="false">
      <c r="A5" s="22" t="s">
        <v>46</v>
      </c>
      <c r="B5" s="22" t="s">
        <v>486</v>
      </c>
      <c r="C5" s="22" t="s">
        <v>487</v>
      </c>
    </row>
    <row r="6" customFormat="false" ht="15" hidden="false" customHeight="false" outlineLevel="0" collapsed="false">
      <c r="A6" s="21" t="s">
        <v>46</v>
      </c>
      <c r="B6" s="15" t="s">
        <v>488</v>
      </c>
      <c r="C6" s="21" t="s">
        <v>489</v>
      </c>
    </row>
    <row r="7" customFormat="false" ht="15" hidden="false" customHeight="false" outlineLevel="0" collapsed="false">
      <c r="A7" s="22" t="s">
        <v>46</v>
      </c>
      <c r="B7" s="18" t="s">
        <v>490</v>
      </c>
      <c r="C7" s="18" t="s">
        <v>491</v>
      </c>
    </row>
    <row r="8" customFormat="false" ht="15" hidden="false" customHeight="false" outlineLevel="0" collapsed="false">
      <c r="A8" s="21" t="s">
        <v>46</v>
      </c>
      <c r="B8" s="21" t="s">
        <v>312</v>
      </c>
      <c r="C8" s="15" t="s">
        <v>492</v>
      </c>
    </row>
    <row r="9" customFormat="false" ht="15" hidden="false" customHeight="false" outlineLevel="0" collapsed="false">
      <c r="A9" s="22" t="s">
        <v>46</v>
      </c>
      <c r="B9" s="22" t="s">
        <v>493</v>
      </c>
      <c r="C9" s="22" t="s">
        <v>494</v>
      </c>
    </row>
    <row r="10" customFormat="false" ht="15" hidden="false" customHeight="false" outlineLevel="0" collapsed="false">
      <c r="A10" s="21" t="s">
        <v>495</v>
      </c>
      <c r="B10" s="21" t="s">
        <v>496</v>
      </c>
      <c r="C10" s="15" t="s">
        <v>497</v>
      </c>
    </row>
    <row r="11" customFormat="false" ht="15" hidden="false" customHeight="false" outlineLevel="0" collapsed="false">
      <c r="A11" s="22" t="s">
        <v>495</v>
      </c>
      <c r="B11" s="22" t="s">
        <v>498</v>
      </c>
      <c r="C11" s="18" t="s">
        <v>499</v>
      </c>
    </row>
    <row r="12" customFormat="false" ht="15" hidden="false" customHeight="false" outlineLevel="0" collapsed="false">
      <c r="A12" s="21" t="s">
        <v>495</v>
      </c>
      <c r="B12" s="21" t="s">
        <v>500</v>
      </c>
      <c r="C12" s="15" t="s">
        <v>501</v>
      </c>
    </row>
    <row r="13" customFormat="false" ht="15" hidden="false" customHeight="false" outlineLevel="0" collapsed="false">
      <c r="A13" s="22" t="s">
        <v>495</v>
      </c>
      <c r="B13" s="22" t="s">
        <v>502</v>
      </c>
      <c r="C13" s="22" t="s">
        <v>503</v>
      </c>
    </row>
    <row r="14" customFormat="false" ht="29.85" hidden="false" customHeight="false" outlineLevel="0" collapsed="false">
      <c r="A14" s="21" t="s">
        <v>504</v>
      </c>
      <c r="B14" s="21" t="s">
        <v>322</v>
      </c>
      <c r="C14" s="15" t="s">
        <v>505</v>
      </c>
    </row>
    <row r="15" customFormat="false" ht="15" hidden="false" customHeight="false" outlineLevel="0" collapsed="false">
      <c r="A15" s="22" t="s">
        <v>504</v>
      </c>
      <c r="B15" s="18" t="s">
        <v>327</v>
      </c>
      <c r="C15" s="18" t="s">
        <v>506</v>
      </c>
    </row>
    <row r="16" customFormat="false" ht="15" hidden="false" customHeight="false" outlineLevel="0" collapsed="false">
      <c r="A16" s="21" t="s">
        <v>48</v>
      </c>
      <c r="B16" s="21" t="s">
        <v>507</v>
      </c>
      <c r="C16" s="15" t="s">
        <v>508</v>
      </c>
    </row>
    <row r="17" customFormat="false" ht="15" hidden="false" customHeight="false" outlineLevel="0" collapsed="false">
      <c r="A17" s="22" t="s">
        <v>48</v>
      </c>
      <c r="B17" s="22" t="s">
        <v>509</v>
      </c>
      <c r="C17" s="22" t="s">
        <v>510</v>
      </c>
    </row>
    <row r="18" customFormat="false" ht="15" hidden="false" customHeight="false" outlineLevel="0" collapsed="false">
      <c r="A18" s="21" t="s">
        <v>48</v>
      </c>
      <c r="B18" s="21" t="s">
        <v>511</v>
      </c>
      <c r="C18" s="15" t="s">
        <v>512</v>
      </c>
    </row>
    <row r="19" customFormat="false" ht="15" hidden="false" customHeight="false" outlineLevel="0" collapsed="false">
      <c r="A19" s="22" t="s">
        <v>513</v>
      </c>
      <c r="B19" s="22" t="s">
        <v>514</v>
      </c>
      <c r="C19" s="22" t="s">
        <v>515</v>
      </c>
    </row>
    <row r="20" customFormat="false" ht="15" hidden="false" customHeight="false" outlineLevel="0" collapsed="false">
      <c r="A20" s="21" t="s">
        <v>513</v>
      </c>
      <c r="B20" s="21" t="s">
        <v>516</v>
      </c>
      <c r="C20" s="21" t="s">
        <v>283</v>
      </c>
    </row>
    <row r="21" customFormat="false" ht="15" hidden="false" customHeight="false" outlineLevel="0" collapsed="false">
      <c r="A21" s="22" t="s">
        <v>513</v>
      </c>
      <c r="B21" s="22" t="s">
        <v>517</v>
      </c>
      <c r="C21" s="22" t="s">
        <v>518</v>
      </c>
    </row>
    <row r="22" customFormat="false" ht="15" hidden="false" customHeight="false" outlineLevel="0" collapsed="false">
      <c r="A22" s="21" t="s">
        <v>513</v>
      </c>
      <c r="B22" s="21" t="s">
        <v>519</v>
      </c>
      <c r="C22" s="21" t="s">
        <v>520</v>
      </c>
    </row>
    <row r="23" customFormat="false" ht="15" hidden="false" customHeight="false" outlineLevel="0" collapsed="false">
      <c r="A23" s="22" t="s">
        <v>521</v>
      </c>
      <c r="B23" s="18" t="s">
        <v>522</v>
      </c>
      <c r="C23" s="22" t="s">
        <v>523</v>
      </c>
    </row>
    <row r="24" customFormat="false" ht="29.85" hidden="false" customHeight="false" outlineLevel="0" collapsed="false">
      <c r="A24" s="21" t="s">
        <v>524</v>
      </c>
      <c r="B24" s="21" t="s">
        <v>525</v>
      </c>
      <c r="C24" s="21" t="s">
        <v>526</v>
      </c>
    </row>
    <row r="25" customFormat="false" ht="15" hidden="false" customHeight="false" outlineLevel="0" collapsed="false">
      <c r="A25" s="22" t="s">
        <v>524</v>
      </c>
      <c r="B25" s="22" t="s">
        <v>527</v>
      </c>
      <c r="C25" s="18" t="s">
        <v>528</v>
      </c>
    </row>
  </sheetData>
  <autoFilter ref="A1:C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55"/>
  </cols>
  <sheetData>
    <row r="1" customFormat="false" ht="21.75" hidden="false" customHeight="true" outlineLevel="0" collapsed="false">
      <c r="A1" s="14" t="s">
        <v>529</v>
      </c>
      <c r="B1" s="14" t="s">
        <v>65</v>
      </c>
      <c r="C1" s="14" t="s">
        <v>530</v>
      </c>
    </row>
    <row r="2" customFormat="false" ht="26.85" hidden="false" customHeight="false" outlineLevel="0" collapsed="false">
      <c r="A2" s="21" t="s">
        <v>531</v>
      </c>
      <c r="B2" s="15" t="s">
        <v>532</v>
      </c>
      <c r="C2" s="21" t="s">
        <v>533</v>
      </c>
    </row>
    <row r="3" customFormat="false" ht="15" hidden="false" customHeight="false" outlineLevel="0" collapsed="false">
      <c r="A3" s="22" t="s">
        <v>534</v>
      </c>
      <c r="B3" s="18" t="s">
        <v>532</v>
      </c>
      <c r="C3" s="22" t="s">
        <v>535</v>
      </c>
    </row>
    <row r="4" customFormat="false" ht="44" hidden="false" customHeight="false" outlineLevel="0" collapsed="false">
      <c r="A4" s="21" t="s">
        <v>536</v>
      </c>
      <c r="B4" s="15" t="s">
        <v>532</v>
      </c>
      <c r="C4" s="21" t="s">
        <v>537</v>
      </c>
    </row>
    <row r="5" customFormat="false" ht="15" hidden="false" customHeight="false" outlineLevel="0" collapsed="false">
      <c r="A5" s="22" t="s">
        <v>538</v>
      </c>
      <c r="B5" s="18" t="s">
        <v>532</v>
      </c>
      <c r="C5" s="22" t="s">
        <v>539</v>
      </c>
    </row>
    <row r="6" customFormat="false" ht="15" hidden="false" customHeight="false" outlineLevel="0" collapsed="false">
      <c r="A6" s="21" t="s">
        <v>540</v>
      </c>
      <c r="B6" s="15" t="s">
        <v>532</v>
      </c>
      <c r="C6" s="21" t="s">
        <v>541</v>
      </c>
    </row>
    <row r="7" customFormat="false" ht="15" hidden="false" customHeight="false" outlineLevel="0" collapsed="false">
      <c r="A7" s="22" t="s">
        <v>542</v>
      </c>
      <c r="B7" s="18" t="s">
        <v>543</v>
      </c>
      <c r="C7" s="22" t="s">
        <v>544</v>
      </c>
    </row>
    <row r="8" customFormat="false" ht="15" hidden="false" customHeight="false" outlineLevel="0" collapsed="false">
      <c r="A8" s="21" t="s">
        <v>545</v>
      </c>
      <c r="B8" s="15" t="s">
        <v>543</v>
      </c>
      <c r="C8" s="21" t="s">
        <v>546</v>
      </c>
    </row>
    <row r="9" customFormat="false" ht="15" hidden="false" customHeight="false" outlineLevel="0" collapsed="false">
      <c r="A9" s="22" t="s">
        <v>547</v>
      </c>
      <c r="B9" s="18" t="s">
        <v>543</v>
      </c>
      <c r="C9" s="22" t="s">
        <v>546</v>
      </c>
    </row>
    <row r="10" customFormat="false" ht="15" hidden="false" customHeight="false" outlineLevel="0" collapsed="false">
      <c r="A10" s="15" t="s">
        <v>548</v>
      </c>
      <c r="B10" s="15" t="s">
        <v>532</v>
      </c>
      <c r="C10" s="21" t="s">
        <v>549</v>
      </c>
    </row>
    <row r="11" customFormat="false" ht="15" hidden="false" customHeight="false" outlineLevel="0" collapsed="false">
      <c r="A11" s="22" t="s">
        <v>550</v>
      </c>
      <c r="B11" s="18" t="s">
        <v>532</v>
      </c>
      <c r="C11" s="22" t="s">
        <v>551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50"/>
  </cols>
  <sheetData>
    <row r="1" customFormat="false" ht="21.75" hidden="false" customHeight="true" outlineLevel="0" collapsed="false">
      <c r="A1" s="14" t="s">
        <v>477</v>
      </c>
      <c r="B1" s="14" t="s">
        <v>552</v>
      </c>
      <c r="C1" s="14" t="s">
        <v>553</v>
      </c>
    </row>
    <row r="2" customFormat="false" ht="29.85" hidden="false" customHeight="false" outlineLevel="0" collapsed="false">
      <c r="A2" s="21" t="s">
        <v>554</v>
      </c>
      <c r="B2" s="15" t="s">
        <v>555</v>
      </c>
      <c r="C2" s="21" t="s">
        <v>556</v>
      </c>
    </row>
    <row r="3" customFormat="false" ht="44" hidden="false" customHeight="false" outlineLevel="0" collapsed="false">
      <c r="A3" s="22" t="s">
        <v>554</v>
      </c>
      <c r="B3" s="22" t="s">
        <v>557</v>
      </c>
      <c r="C3" s="18" t="s">
        <v>558</v>
      </c>
    </row>
    <row r="4" customFormat="false" ht="15" hidden="false" customHeight="false" outlineLevel="0" collapsed="false">
      <c r="A4" s="21" t="s">
        <v>554</v>
      </c>
      <c r="B4" s="15" t="s">
        <v>559</v>
      </c>
      <c r="C4" s="21" t="s">
        <v>560</v>
      </c>
    </row>
    <row r="5" customFormat="false" ht="29.85" hidden="false" customHeight="false" outlineLevel="0" collapsed="false">
      <c r="A5" s="22" t="s">
        <v>554</v>
      </c>
      <c r="B5" s="22" t="s">
        <v>561</v>
      </c>
      <c r="C5" s="22" t="s">
        <v>562</v>
      </c>
    </row>
    <row r="6" customFormat="false" ht="44" hidden="false" customHeight="false" outlineLevel="0" collapsed="false">
      <c r="A6" s="21" t="s">
        <v>563</v>
      </c>
      <c r="B6" s="21" t="s">
        <v>564</v>
      </c>
      <c r="C6" s="21" t="s">
        <v>565</v>
      </c>
    </row>
    <row r="7" customFormat="false" ht="29.85" hidden="false" customHeight="false" outlineLevel="0" collapsed="false">
      <c r="A7" s="22" t="s">
        <v>566</v>
      </c>
      <c r="B7" s="22" t="s">
        <v>567</v>
      </c>
      <c r="C7" s="22" t="s">
        <v>568</v>
      </c>
    </row>
    <row r="8" customFormat="false" ht="15" hidden="false" customHeight="false" outlineLevel="0" collapsed="false">
      <c r="A8" s="21" t="s">
        <v>569</v>
      </c>
      <c r="B8" s="21" t="s">
        <v>570</v>
      </c>
      <c r="C8" s="21" t="s">
        <v>571</v>
      </c>
    </row>
    <row r="9" customFormat="false" ht="15" hidden="false" customHeight="false" outlineLevel="0" collapsed="false">
      <c r="A9" s="22" t="s">
        <v>569</v>
      </c>
      <c r="B9" s="22" t="s">
        <v>572</v>
      </c>
      <c r="C9" s="22" t="s">
        <v>573</v>
      </c>
    </row>
    <row r="10" customFormat="false" ht="15" hidden="false" customHeight="false" outlineLevel="0" collapsed="false">
      <c r="A10" s="21" t="s">
        <v>569</v>
      </c>
      <c r="B10" s="21" t="s">
        <v>574</v>
      </c>
      <c r="C10" s="21" t="s">
        <v>575</v>
      </c>
    </row>
    <row r="11" customFormat="false" ht="29.85" hidden="false" customHeight="false" outlineLevel="0" collapsed="false">
      <c r="A11" s="22" t="s">
        <v>576</v>
      </c>
      <c r="B11" s="22" t="s">
        <v>577</v>
      </c>
      <c r="C11" s="22" t="s">
        <v>578</v>
      </c>
    </row>
    <row r="12" customFormat="false" ht="15" hidden="false" customHeight="false" outlineLevel="0" collapsed="false">
      <c r="A12" s="21" t="s">
        <v>576</v>
      </c>
      <c r="B12" s="21" t="s">
        <v>579</v>
      </c>
      <c r="C12" s="21" t="s">
        <v>580</v>
      </c>
    </row>
  </sheetData>
  <autoFilter ref="A1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2026-07-23T06:26:31Z</dcterms:created>
  <dc:creator>openpyxl</dc:creator>
  <dc:description/>
  <dc:language>en-US</dc:language>
  <cp:lastModifiedBy/>
  <dcterms:modified xsi:type="dcterms:W3CDTF">2026-07-23T06:29:31Z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